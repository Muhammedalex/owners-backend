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56F0EBA-56DF-48BE-BFA9-612839C8A81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الدليل الشامل_2025" sheetId="1" r:id="rId1"/>
  </sheets>
  <definedNames>
    <definedName name="_xlnm._FilterDatabase" localSheetId="0" hidden="1">'الدليل الشامل_2025'!$A$3:$BK$364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qOHAK6w6lUzEQrxbHcu46Fd1Un990kSHIR2TUbjtU/4="/>
    </ext>
  </extLst>
</workbook>
</file>

<file path=xl/calcChain.xml><?xml version="1.0" encoding="utf-8"?>
<calcChain xmlns="http://schemas.openxmlformats.org/spreadsheetml/2006/main">
  <c r="U43" i="1" l="1"/>
  <c r="V43" i="1"/>
  <c r="W43" i="1"/>
  <c r="Y43" i="1"/>
  <c r="AA43" i="1"/>
  <c r="AE43" i="1"/>
  <c r="AH43" i="1"/>
  <c r="AO43" i="1" s="1"/>
  <c r="AN43" i="1"/>
  <c r="AT43" i="1"/>
  <c r="S43" i="1"/>
  <c r="S363" i="1" s="1"/>
  <c r="S44" i="1"/>
  <c r="R43" i="1"/>
  <c r="AN44" i="1"/>
  <c r="AT44" i="1" s="1"/>
  <c r="AE44" i="1"/>
  <c r="AH44" i="1" s="1"/>
  <c r="AO44" i="1" s="1"/>
  <c r="AA44" i="1"/>
  <c r="Y44" i="1"/>
  <c r="U44" i="1"/>
  <c r="V44" i="1"/>
  <c r="W44" i="1" s="1"/>
  <c r="R44" i="1"/>
  <c r="Q374" i="1"/>
  <c r="Q373" i="1"/>
  <c r="Q372" i="1"/>
  <c r="P371" i="1"/>
  <c r="Q371" i="1" s="1"/>
  <c r="P370" i="1"/>
  <c r="Q370" i="1" s="1"/>
  <c r="Q369" i="1"/>
  <c r="AC363" i="1"/>
  <c r="AB363" i="1"/>
  <c r="Z363" i="1"/>
  <c r="X363" i="1"/>
  <c r="Y363" i="1" s="1"/>
  <c r="R363" i="1"/>
  <c r="H363" i="1"/>
  <c r="AE362" i="1"/>
  <c r="AX362" i="1" s="1"/>
  <c r="AD362" i="1"/>
  <c r="AA362" i="1"/>
  <c r="Y362" i="1"/>
  <c r="T362" i="1"/>
  <c r="U362" i="1" s="1"/>
  <c r="R362" i="1"/>
  <c r="AE361" i="1"/>
  <c r="AX361" i="1" s="1"/>
  <c r="AD361" i="1"/>
  <c r="AA361" i="1"/>
  <c r="Y361" i="1"/>
  <c r="T361" i="1"/>
  <c r="U361" i="1" s="1"/>
  <c r="R361" i="1"/>
  <c r="AE360" i="1"/>
  <c r="AD360" i="1"/>
  <c r="AA360" i="1"/>
  <c r="Y360" i="1"/>
  <c r="T360" i="1"/>
  <c r="U360" i="1" s="1"/>
  <c r="R360" i="1"/>
  <c r="AE359" i="1"/>
  <c r="AX359" i="1" s="1"/>
  <c r="AD359" i="1"/>
  <c r="AA359" i="1"/>
  <c r="Y359" i="1"/>
  <c r="T359" i="1"/>
  <c r="U359" i="1" s="1"/>
  <c r="R359" i="1"/>
  <c r="AE358" i="1"/>
  <c r="AX358" i="1" s="1"/>
  <c r="AD358" i="1"/>
  <c r="AA358" i="1"/>
  <c r="Y358" i="1"/>
  <c r="T358" i="1"/>
  <c r="U358" i="1" s="1"/>
  <c r="AE357" i="1"/>
  <c r="AX357" i="1" s="1"/>
  <c r="AD357" i="1"/>
  <c r="AA357" i="1"/>
  <c r="Y357" i="1"/>
  <c r="T357" i="1"/>
  <c r="U357" i="1" s="1"/>
  <c r="R357" i="1"/>
  <c r="AE356" i="1"/>
  <c r="AX356" i="1" s="1"/>
  <c r="AD356" i="1"/>
  <c r="Y356" i="1"/>
  <c r="T356" i="1"/>
  <c r="U356" i="1" s="1"/>
  <c r="R356" i="1"/>
  <c r="AE355" i="1"/>
  <c r="AX355" i="1" s="1"/>
  <c r="AD355" i="1"/>
  <c r="AA355" i="1"/>
  <c r="Y355" i="1"/>
  <c r="T355" i="1"/>
  <c r="U355" i="1" s="1"/>
  <c r="R355" i="1"/>
  <c r="AE354" i="1"/>
  <c r="AX354" i="1" s="1"/>
  <c r="AD354" i="1"/>
  <c r="AA354" i="1"/>
  <c r="Y354" i="1"/>
  <c r="T354" i="1"/>
  <c r="U354" i="1" s="1"/>
  <c r="R354" i="1"/>
  <c r="AE353" i="1"/>
  <c r="AX353" i="1" s="1"/>
  <c r="AD353" i="1"/>
  <c r="AA353" i="1"/>
  <c r="Y353" i="1"/>
  <c r="T353" i="1"/>
  <c r="U353" i="1" s="1"/>
  <c r="R353" i="1"/>
  <c r="AE352" i="1"/>
  <c r="AX352" i="1" s="1"/>
  <c r="AD352" i="1"/>
  <c r="Y352" i="1"/>
  <c r="T352" i="1"/>
  <c r="U352" i="1" s="1"/>
  <c r="R352" i="1"/>
  <c r="AE351" i="1"/>
  <c r="AX351" i="1" s="1"/>
  <c r="AD351" i="1"/>
  <c r="Y351" i="1"/>
  <c r="T351" i="1"/>
  <c r="U351" i="1" s="1"/>
  <c r="BJ351" i="1" s="1"/>
  <c r="R351" i="1"/>
  <c r="AE350" i="1"/>
  <c r="AX350" i="1" s="1"/>
  <c r="AD350" i="1"/>
  <c r="AA350" i="1"/>
  <c r="Y350" i="1"/>
  <c r="T350" i="1"/>
  <c r="U350" i="1" s="1"/>
  <c r="R350" i="1"/>
  <c r="AE349" i="1"/>
  <c r="AX349" i="1" s="1"/>
  <c r="AD349" i="1"/>
  <c r="AA349" i="1"/>
  <c r="Y349" i="1"/>
  <c r="R349" i="1"/>
  <c r="AE348" i="1"/>
  <c r="AX348" i="1" s="1"/>
  <c r="AD348" i="1"/>
  <c r="AA348" i="1"/>
  <c r="Y348" i="1"/>
  <c r="T348" i="1"/>
  <c r="U348" i="1" s="1"/>
  <c r="R348" i="1"/>
  <c r="AE347" i="1"/>
  <c r="AX347" i="1" s="1"/>
  <c r="AD347" i="1"/>
  <c r="AA347" i="1"/>
  <c r="Y347" i="1"/>
  <c r="T347" i="1"/>
  <c r="U347" i="1" s="1"/>
  <c r="R347" i="1"/>
  <c r="AE346" i="1"/>
  <c r="AX346" i="1" s="1"/>
  <c r="AD346" i="1"/>
  <c r="AA346" i="1"/>
  <c r="Y346" i="1"/>
  <c r="T346" i="1"/>
  <c r="U346" i="1" s="1"/>
  <c r="R346" i="1"/>
  <c r="AE345" i="1"/>
  <c r="AX345" i="1" s="1"/>
  <c r="AD345" i="1"/>
  <c r="AA345" i="1"/>
  <c r="Y345" i="1"/>
  <c r="T345" i="1"/>
  <c r="U345" i="1" s="1"/>
  <c r="A345" i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E344" i="1"/>
  <c r="AX344" i="1" s="1"/>
  <c r="AD344" i="1"/>
  <c r="AA344" i="1"/>
  <c r="Y344" i="1"/>
  <c r="T344" i="1"/>
  <c r="U344" i="1" s="1"/>
  <c r="AE343" i="1"/>
  <c r="AD343" i="1"/>
  <c r="AA343" i="1"/>
  <c r="Y343" i="1"/>
  <c r="T343" i="1"/>
  <c r="U343" i="1" s="1"/>
  <c r="AE342" i="1"/>
  <c r="AX342" i="1" s="1"/>
  <c r="AD342" i="1"/>
  <c r="AA342" i="1"/>
  <c r="Y342" i="1"/>
  <c r="T342" i="1"/>
  <c r="U342" i="1" s="1"/>
  <c r="AE341" i="1"/>
  <c r="AX341" i="1" s="1"/>
  <c r="AD341" i="1"/>
  <c r="AA341" i="1"/>
  <c r="Y341" i="1"/>
  <c r="T341" i="1"/>
  <c r="U341" i="1" s="1"/>
  <c r="AE340" i="1"/>
  <c r="AX340" i="1" s="1"/>
  <c r="AD340" i="1"/>
  <c r="AA340" i="1"/>
  <c r="Y340" i="1"/>
  <c r="T340" i="1"/>
  <c r="U340" i="1" s="1"/>
  <c r="AE339" i="1"/>
  <c r="AX339" i="1" s="1"/>
  <c r="AD339" i="1"/>
  <c r="AA339" i="1"/>
  <c r="Y339" i="1"/>
  <c r="T339" i="1"/>
  <c r="U339" i="1" s="1"/>
  <c r="AE338" i="1"/>
  <c r="AX338" i="1" s="1"/>
  <c r="AD338" i="1"/>
  <c r="AA338" i="1"/>
  <c r="Y338" i="1"/>
  <c r="T338" i="1"/>
  <c r="U338" i="1" s="1"/>
  <c r="AE337" i="1"/>
  <c r="AD337" i="1"/>
  <c r="AA337" i="1"/>
  <c r="Y337" i="1"/>
  <c r="T337" i="1"/>
  <c r="U337" i="1" s="1"/>
  <c r="R337" i="1"/>
  <c r="AE336" i="1"/>
  <c r="AD336" i="1"/>
  <c r="AA336" i="1"/>
  <c r="Y336" i="1"/>
  <c r="T336" i="1"/>
  <c r="U336" i="1" s="1"/>
  <c r="R336" i="1"/>
  <c r="AE335" i="1"/>
  <c r="AX335" i="1" s="1"/>
  <c r="AA335" i="1"/>
  <c r="Y335" i="1"/>
  <c r="T335" i="1"/>
  <c r="U335" i="1" s="1"/>
  <c r="R335" i="1"/>
  <c r="AE334" i="1"/>
  <c r="AX334" i="1" s="1"/>
  <c r="AD334" i="1"/>
  <c r="AA334" i="1"/>
  <c r="Y334" i="1"/>
  <c r="T334" i="1"/>
  <c r="U334" i="1" s="1"/>
  <c r="R334" i="1"/>
  <c r="AE333" i="1"/>
  <c r="AX333" i="1" s="1"/>
  <c r="AD333" i="1"/>
  <c r="AA333" i="1"/>
  <c r="Y333" i="1"/>
  <c r="T333" i="1"/>
  <c r="U333" i="1" s="1"/>
  <c r="R333" i="1"/>
  <c r="AE332" i="1"/>
  <c r="AX332" i="1" s="1"/>
  <c r="AD332" i="1"/>
  <c r="AA332" i="1"/>
  <c r="Y332" i="1"/>
  <c r="T332" i="1"/>
  <c r="U332" i="1" s="1"/>
  <c r="R332" i="1"/>
  <c r="AE331" i="1"/>
  <c r="AX331" i="1" s="1"/>
  <c r="AD331" i="1"/>
  <c r="AA331" i="1"/>
  <c r="Y331" i="1"/>
  <c r="T331" i="1"/>
  <c r="U331" i="1" s="1"/>
  <c r="R331" i="1"/>
  <c r="AE330" i="1"/>
  <c r="AX330" i="1" s="1"/>
  <c r="AD330" i="1"/>
  <c r="AA330" i="1"/>
  <c r="Y330" i="1"/>
  <c r="T330" i="1"/>
  <c r="U330" i="1" s="1"/>
  <c r="R330" i="1"/>
  <c r="AE329" i="1"/>
  <c r="AX329" i="1" s="1"/>
  <c r="AD329" i="1"/>
  <c r="AA329" i="1"/>
  <c r="Y329" i="1"/>
  <c r="T329" i="1"/>
  <c r="U329" i="1" s="1"/>
  <c r="R329" i="1"/>
  <c r="AE328" i="1"/>
  <c r="AX328" i="1" s="1"/>
  <c r="AD328" i="1"/>
  <c r="Y328" i="1"/>
  <c r="T328" i="1"/>
  <c r="U328" i="1" s="1"/>
  <c r="R328" i="1"/>
  <c r="AE327" i="1"/>
  <c r="AX327" i="1" s="1"/>
  <c r="AD327" i="1"/>
  <c r="AA327" i="1"/>
  <c r="Y327" i="1"/>
  <c r="T327" i="1"/>
  <c r="U327" i="1" s="1"/>
  <c r="R327" i="1"/>
  <c r="AE326" i="1"/>
  <c r="AX326" i="1" s="1"/>
  <c r="AD326" i="1"/>
  <c r="AA326" i="1"/>
  <c r="Y326" i="1"/>
  <c r="T326" i="1"/>
  <c r="U326" i="1" s="1"/>
  <c r="R326" i="1"/>
  <c r="AE325" i="1"/>
  <c r="AX325" i="1" s="1"/>
  <c r="AD325" i="1"/>
  <c r="AA325" i="1"/>
  <c r="Y325" i="1"/>
  <c r="T325" i="1"/>
  <c r="U325" i="1" s="1"/>
  <c r="R325" i="1"/>
  <c r="AE324" i="1"/>
  <c r="AX324" i="1" s="1"/>
  <c r="AD324" i="1"/>
  <c r="AA324" i="1"/>
  <c r="Y324" i="1"/>
  <c r="T324" i="1"/>
  <c r="U324" i="1" s="1"/>
  <c r="R324" i="1"/>
  <c r="AE323" i="1"/>
  <c r="AD323" i="1"/>
  <c r="AA323" i="1"/>
  <c r="Y323" i="1"/>
  <c r="T323" i="1"/>
  <c r="U323" i="1" s="1"/>
  <c r="R323" i="1"/>
  <c r="AE322" i="1"/>
  <c r="AX322" i="1" s="1"/>
  <c r="AD322" i="1"/>
  <c r="AA322" i="1"/>
  <c r="Y322" i="1"/>
  <c r="T322" i="1"/>
  <c r="U322" i="1" s="1"/>
  <c r="R322" i="1"/>
  <c r="AE321" i="1"/>
  <c r="AX321" i="1" s="1"/>
  <c r="AD321" i="1"/>
  <c r="AA321" i="1"/>
  <c r="Y321" i="1"/>
  <c r="T321" i="1"/>
  <c r="U321" i="1" s="1"/>
  <c r="R321" i="1"/>
  <c r="AE320" i="1"/>
  <c r="AX320" i="1" s="1"/>
  <c r="AD320" i="1"/>
  <c r="AA320" i="1"/>
  <c r="Y320" i="1"/>
  <c r="T320" i="1"/>
  <c r="U320" i="1" s="1"/>
  <c r="R320" i="1"/>
  <c r="AE319" i="1"/>
  <c r="AX319" i="1" s="1"/>
  <c r="AD319" i="1"/>
  <c r="AA319" i="1"/>
  <c r="Y319" i="1"/>
  <c r="T319" i="1"/>
  <c r="U319" i="1" s="1"/>
  <c r="R319" i="1"/>
  <c r="AE318" i="1"/>
  <c r="AD318" i="1"/>
  <c r="AA318" i="1"/>
  <c r="Y318" i="1"/>
  <c r="T318" i="1"/>
  <c r="U318" i="1" s="1"/>
  <c r="R318" i="1"/>
  <c r="AE317" i="1"/>
  <c r="AX317" i="1" s="1"/>
  <c r="AD317" i="1"/>
  <c r="AA317" i="1"/>
  <c r="Y317" i="1"/>
  <c r="T317" i="1"/>
  <c r="U317" i="1" s="1"/>
  <c r="R317" i="1"/>
  <c r="AE316" i="1"/>
  <c r="AX316" i="1" s="1"/>
  <c r="AD316" i="1"/>
  <c r="AA316" i="1"/>
  <c r="Y316" i="1"/>
  <c r="T316" i="1"/>
  <c r="U316" i="1" s="1"/>
  <c r="R316" i="1"/>
  <c r="AE315" i="1"/>
  <c r="AX315" i="1" s="1"/>
  <c r="AD315" i="1"/>
  <c r="AA315" i="1"/>
  <c r="Y315" i="1"/>
  <c r="T315" i="1"/>
  <c r="U315" i="1" s="1"/>
  <c r="R315" i="1"/>
  <c r="AE314" i="1"/>
  <c r="AD314" i="1"/>
  <c r="AA314" i="1"/>
  <c r="Y314" i="1"/>
  <c r="R314" i="1"/>
  <c r="AE313" i="1"/>
  <c r="AX313" i="1" s="1"/>
  <c r="AD313" i="1"/>
  <c r="AA313" i="1"/>
  <c r="Y313" i="1"/>
  <c r="T313" i="1"/>
  <c r="U313" i="1" s="1"/>
  <c r="R313" i="1"/>
  <c r="AE312" i="1"/>
  <c r="AX312" i="1" s="1"/>
  <c r="AD312" i="1"/>
  <c r="AA312" i="1"/>
  <c r="Y312" i="1"/>
  <c r="T312" i="1"/>
  <c r="U312" i="1" s="1"/>
  <c r="R312" i="1"/>
  <c r="AE311" i="1"/>
  <c r="AX311" i="1" s="1"/>
  <c r="AD311" i="1"/>
  <c r="AA311" i="1"/>
  <c r="Y311" i="1"/>
  <c r="T311" i="1"/>
  <c r="U311" i="1" s="1"/>
  <c r="BJ311" i="1" s="1"/>
  <c r="R311" i="1"/>
  <c r="AE310" i="1"/>
  <c r="AX310" i="1" s="1"/>
  <c r="AD310" i="1"/>
  <c r="AA310" i="1"/>
  <c r="Y310" i="1"/>
  <c r="T310" i="1"/>
  <c r="U310" i="1" s="1"/>
  <c r="R310" i="1"/>
  <c r="AE309" i="1"/>
  <c r="AX309" i="1" s="1"/>
  <c r="AD309" i="1"/>
  <c r="AA309" i="1"/>
  <c r="Y309" i="1"/>
  <c r="T309" i="1"/>
  <c r="U309" i="1" s="1"/>
  <c r="R309" i="1"/>
  <c r="AE308" i="1"/>
  <c r="AX308" i="1" s="1"/>
  <c r="AD308" i="1"/>
  <c r="AA308" i="1"/>
  <c r="Y308" i="1"/>
  <c r="T308" i="1"/>
  <c r="U308" i="1" s="1"/>
  <c r="R308" i="1"/>
  <c r="AE307" i="1"/>
  <c r="AX307" i="1" s="1"/>
  <c r="AD307" i="1"/>
  <c r="AA307" i="1"/>
  <c r="Y307" i="1"/>
  <c r="T307" i="1"/>
  <c r="U307" i="1" s="1"/>
  <c r="R307" i="1"/>
  <c r="AE306" i="1"/>
  <c r="AX306" i="1" s="1"/>
  <c r="AD306" i="1"/>
  <c r="Y306" i="1"/>
  <c r="T306" i="1"/>
  <c r="U306" i="1" s="1"/>
  <c r="R306" i="1"/>
  <c r="AE305" i="1"/>
  <c r="AX305" i="1" s="1"/>
  <c r="AD305" i="1"/>
  <c r="AA305" i="1"/>
  <c r="Y305" i="1"/>
  <c r="T305" i="1"/>
  <c r="U305" i="1" s="1"/>
  <c r="R305" i="1"/>
  <c r="AE304" i="1"/>
  <c r="AX304" i="1" s="1"/>
  <c r="AD304" i="1"/>
  <c r="AA304" i="1"/>
  <c r="Y304" i="1"/>
  <c r="T304" i="1"/>
  <c r="U304" i="1" s="1"/>
  <c r="R304" i="1"/>
  <c r="AE303" i="1"/>
  <c r="AX303" i="1" s="1"/>
  <c r="AD303" i="1"/>
  <c r="AA303" i="1"/>
  <c r="Y303" i="1"/>
  <c r="T303" i="1"/>
  <c r="U303" i="1" s="1"/>
  <c r="R303" i="1"/>
  <c r="AE302" i="1"/>
  <c r="AX302" i="1" s="1"/>
  <c r="Y302" i="1"/>
  <c r="T302" i="1"/>
  <c r="U302" i="1" s="1"/>
  <c r="R302" i="1"/>
  <c r="AE301" i="1"/>
  <c r="AX301" i="1" s="1"/>
  <c r="AD301" i="1"/>
  <c r="AA301" i="1"/>
  <c r="Y301" i="1"/>
  <c r="T301" i="1"/>
  <c r="U301" i="1" s="1"/>
  <c r="R301" i="1"/>
  <c r="AE300" i="1"/>
  <c r="AX300" i="1" s="1"/>
  <c r="AD300" i="1"/>
  <c r="AA300" i="1"/>
  <c r="Y300" i="1"/>
  <c r="T300" i="1"/>
  <c r="U300" i="1" s="1"/>
  <c r="R300" i="1"/>
  <c r="AE299" i="1"/>
  <c r="AX299" i="1" s="1"/>
  <c r="AD299" i="1"/>
  <c r="AA299" i="1"/>
  <c r="Y299" i="1"/>
  <c r="T299" i="1"/>
  <c r="U299" i="1" s="1"/>
  <c r="R299" i="1"/>
  <c r="AE298" i="1"/>
  <c r="AX298" i="1" s="1"/>
  <c r="AD298" i="1"/>
  <c r="AA298" i="1"/>
  <c r="Y298" i="1"/>
  <c r="T298" i="1"/>
  <c r="U298" i="1" s="1"/>
  <c r="R298" i="1"/>
  <c r="AE297" i="1"/>
  <c r="AX297" i="1" s="1"/>
  <c r="AD297" i="1"/>
  <c r="AA297" i="1"/>
  <c r="Y297" i="1"/>
  <c r="T297" i="1"/>
  <c r="U297" i="1" s="1"/>
  <c r="R297" i="1"/>
  <c r="AE296" i="1"/>
  <c r="AX296" i="1" s="1"/>
  <c r="AD296" i="1"/>
  <c r="AA296" i="1"/>
  <c r="Y296" i="1"/>
  <c r="T296" i="1"/>
  <c r="U296" i="1" s="1"/>
  <c r="R296" i="1"/>
  <c r="AE295" i="1"/>
  <c r="AX295" i="1" s="1"/>
  <c r="AD295" i="1"/>
  <c r="AA295" i="1"/>
  <c r="Y295" i="1"/>
  <c r="T295" i="1"/>
  <c r="U295" i="1" s="1"/>
  <c r="R295" i="1"/>
  <c r="AE294" i="1"/>
  <c r="AD294" i="1"/>
  <c r="AA294" i="1"/>
  <c r="Y294" i="1"/>
  <c r="T294" i="1"/>
  <c r="U294" i="1" s="1"/>
  <c r="R294" i="1"/>
  <c r="AE293" i="1"/>
  <c r="AX293" i="1" s="1"/>
  <c r="AD293" i="1"/>
  <c r="AA293" i="1"/>
  <c r="Y293" i="1"/>
  <c r="T293" i="1"/>
  <c r="U293" i="1" s="1"/>
  <c r="R293" i="1"/>
  <c r="AE292" i="1"/>
  <c r="AX292" i="1" s="1"/>
  <c r="AD292" i="1"/>
  <c r="AA292" i="1"/>
  <c r="Y292" i="1"/>
  <c r="T292" i="1"/>
  <c r="U292" i="1" s="1"/>
  <c r="R292" i="1"/>
  <c r="AE291" i="1"/>
  <c r="BJ291" i="1" s="1"/>
  <c r="AD291" i="1"/>
  <c r="AA291" i="1"/>
  <c r="Y291" i="1"/>
  <c r="T291" i="1"/>
  <c r="R291" i="1"/>
  <c r="AE290" i="1"/>
  <c r="AX290" i="1" s="1"/>
  <c r="AD290" i="1"/>
  <c r="AA290" i="1"/>
  <c r="Y290" i="1"/>
  <c r="T290" i="1"/>
  <c r="U290" i="1" s="1"/>
  <c r="R290" i="1"/>
  <c r="AE289" i="1"/>
  <c r="AX289" i="1" s="1"/>
  <c r="AD289" i="1"/>
  <c r="AA289" i="1"/>
  <c r="Y289" i="1"/>
  <c r="T289" i="1"/>
  <c r="U289" i="1" s="1"/>
  <c r="R289" i="1"/>
  <c r="AE288" i="1"/>
  <c r="AX288" i="1" s="1"/>
  <c r="AD288" i="1"/>
  <c r="AA288" i="1"/>
  <c r="Y288" i="1"/>
  <c r="T288" i="1"/>
  <c r="U288" i="1" s="1"/>
  <c r="R288" i="1"/>
  <c r="AE287" i="1"/>
  <c r="AX287" i="1" s="1"/>
  <c r="AD287" i="1"/>
  <c r="AA287" i="1"/>
  <c r="Y287" i="1"/>
  <c r="T287" i="1"/>
  <c r="U287" i="1" s="1"/>
  <c r="R287" i="1"/>
  <c r="AE286" i="1"/>
  <c r="AD286" i="1"/>
  <c r="AA286" i="1"/>
  <c r="Y286" i="1"/>
  <c r="T286" i="1"/>
  <c r="U286" i="1" s="1"/>
  <c r="R286" i="1"/>
  <c r="AE285" i="1"/>
  <c r="AX285" i="1" s="1"/>
  <c r="AD285" i="1"/>
  <c r="AA285" i="1"/>
  <c r="Y285" i="1"/>
  <c r="T285" i="1"/>
  <c r="U285" i="1" s="1"/>
  <c r="R285" i="1"/>
  <c r="AE284" i="1"/>
  <c r="AD284" i="1"/>
  <c r="AA284" i="1"/>
  <c r="Y284" i="1"/>
  <c r="T284" i="1"/>
  <c r="U284" i="1" s="1"/>
  <c r="R284" i="1"/>
  <c r="AE283" i="1"/>
  <c r="AX283" i="1" s="1"/>
  <c r="AD283" i="1"/>
  <c r="AA283" i="1"/>
  <c r="Y283" i="1"/>
  <c r="T283" i="1"/>
  <c r="U283" i="1" s="1"/>
  <c r="R283" i="1"/>
  <c r="AE282" i="1"/>
  <c r="AX282" i="1" s="1"/>
  <c r="AD282" i="1"/>
  <c r="AA282" i="1"/>
  <c r="Y282" i="1"/>
  <c r="T282" i="1"/>
  <c r="U282" i="1" s="1"/>
  <c r="R282" i="1"/>
  <c r="AE281" i="1"/>
  <c r="AX281" i="1" s="1"/>
  <c r="AD281" i="1"/>
  <c r="AA281" i="1"/>
  <c r="Y281" i="1"/>
  <c r="T281" i="1"/>
  <c r="U281" i="1" s="1"/>
  <c r="R281" i="1"/>
  <c r="AE280" i="1"/>
  <c r="AX280" i="1" s="1"/>
  <c r="AD280" i="1"/>
  <c r="AA280" i="1"/>
  <c r="Y280" i="1"/>
  <c r="T280" i="1"/>
  <c r="U280" i="1" s="1"/>
  <c r="R280" i="1"/>
  <c r="AE279" i="1"/>
  <c r="AX279" i="1" s="1"/>
  <c r="AD279" i="1"/>
  <c r="AA279" i="1"/>
  <c r="Y279" i="1"/>
  <c r="T279" i="1"/>
  <c r="U279" i="1" s="1"/>
  <c r="R279" i="1"/>
  <c r="AE278" i="1"/>
  <c r="AX278" i="1" s="1"/>
  <c r="AD278" i="1"/>
  <c r="AA278" i="1"/>
  <c r="Y278" i="1"/>
  <c r="T278" i="1"/>
  <c r="U278" i="1" s="1"/>
  <c r="R278" i="1"/>
  <c r="AE277" i="1"/>
  <c r="AX277" i="1" s="1"/>
  <c r="AD277" i="1"/>
  <c r="AA277" i="1"/>
  <c r="Y277" i="1"/>
  <c r="T277" i="1"/>
  <c r="U277" i="1" s="1"/>
  <c r="R277" i="1"/>
  <c r="AE276" i="1"/>
  <c r="AX276" i="1" s="1"/>
  <c r="AD276" i="1"/>
  <c r="AA276" i="1"/>
  <c r="Y276" i="1"/>
  <c r="T276" i="1"/>
  <c r="U276" i="1" s="1"/>
  <c r="R276" i="1"/>
  <c r="AE274" i="1"/>
  <c r="AX274" i="1" s="1"/>
  <c r="AD274" i="1"/>
  <c r="AA274" i="1"/>
  <c r="Y274" i="1"/>
  <c r="T274" i="1"/>
  <c r="U274" i="1" s="1"/>
  <c r="R274" i="1"/>
  <c r="AE273" i="1"/>
  <c r="AX273" i="1" s="1"/>
  <c r="AD273" i="1"/>
  <c r="AA273" i="1"/>
  <c r="Y273" i="1"/>
  <c r="T273" i="1"/>
  <c r="U273" i="1" s="1"/>
  <c r="R273" i="1"/>
  <c r="AE272" i="1"/>
  <c r="AX272" i="1" s="1"/>
  <c r="AD272" i="1"/>
  <c r="AA272" i="1"/>
  <c r="Y272" i="1"/>
  <c r="T272" i="1"/>
  <c r="U272" i="1" s="1"/>
  <c r="R272" i="1"/>
  <c r="AE271" i="1"/>
  <c r="AX271" i="1" s="1"/>
  <c r="AD271" i="1"/>
  <c r="AA271" i="1"/>
  <c r="Y271" i="1"/>
  <c r="T271" i="1"/>
  <c r="U271" i="1" s="1"/>
  <c r="R271" i="1"/>
  <c r="AE270" i="1"/>
  <c r="AX270" i="1" s="1"/>
  <c r="AD270" i="1"/>
  <c r="AA270" i="1"/>
  <c r="Y270" i="1"/>
  <c r="T270" i="1"/>
  <c r="U270" i="1" s="1"/>
  <c r="R270" i="1"/>
  <c r="AE269" i="1"/>
  <c r="AX269" i="1" s="1"/>
  <c r="AD269" i="1"/>
  <c r="AA269" i="1"/>
  <c r="Y269" i="1"/>
  <c r="T269" i="1"/>
  <c r="U269" i="1" s="1"/>
  <c r="R269" i="1"/>
  <c r="AE268" i="1"/>
  <c r="AX268" i="1" s="1"/>
  <c r="AD268" i="1"/>
  <c r="AA268" i="1"/>
  <c r="Y268" i="1"/>
  <c r="T268" i="1"/>
  <c r="U268" i="1" s="1"/>
  <c r="AE267" i="1"/>
  <c r="AX267" i="1" s="1"/>
  <c r="AD267" i="1"/>
  <c r="AA267" i="1"/>
  <c r="Y267" i="1"/>
  <c r="T267" i="1"/>
  <c r="U267" i="1" s="1"/>
  <c r="R267" i="1"/>
  <c r="AE266" i="1"/>
  <c r="BJ266" i="1" s="1"/>
  <c r="AD266" i="1"/>
  <c r="AA266" i="1"/>
  <c r="Y266" i="1"/>
  <c r="T266" i="1"/>
  <c r="R266" i="1"/>
  <c r="AE265" i="1"/>
  <c r="BJ265" i="1" s="1"/>
  <c r="AD265" i="1"/>
  <c r="AA265" i="1"/>
  <c r="Y265" i="1"/>
  <c r="R265" i="1"/>
  <c r="AE264" i="1"/>
  <c r="AX264" i="1" s="1"/>
  <c r="AD264" i="1"/>
  <c r="AA264" i="1"/>
  <c r="Y264" i="1"/>
  <c r="T264" i="1"/>
  <c r="U264" i="1" s="1"/>
  <c r="R264" i="1"/>
  <c r="AE263" i="1"/>
  <c r="AX263" i="1" s="1"/>
  <c r="AD263" i="1"/>
  <c r="AA263" i="1"/>
  <c r="Y263" i="1"/>
  <c r="T263" i="1"/>
  <c r="U263" i="1" s="1"/>
  <c r="R263" i="1"/>
  <c r="AE262" i="1"/>
  <c r="AX262" i="1" s="1"/>
  <c r="AD262" i="1"/>
  <c r="AA262" i="1"/>
  <c r="Y262" i="1"/>
  <c r="T262" i="1"/>
  <c r="U262" i="1" s="1"/>
  <c r="R262" i="1"/>
  <c r="AE261" i="1"/>
  <c r="AX261" i="1" s="1"/>
  <c r="AD261" i="1"/>
  <c r="AA261" i="1"/>
  <c r="Y261" i="1"/>
  <c r="T261" i="1"/>
  <c r="U261" i="1" s="1"/>
  <c r="R261" i="1"/>
  <c r="AE260" i="1"/>
  <c r="AX260" i="1" s="1"/>
  <c r="AD260" i="1"/>
  <c r="AA260" i="1"/>
  <c r="Y260" i="1"/>
  <c r="T260" i="1"/>
  <c r="U260" i="1" s="1"/>
  <c r="R260" i="1"/>
  <c r="AE259" i="1"/>
  <c r="AD259" i="1"/>
  <c r="AA259" i="1"/>
  <c r="Y259" i="1"/>
  <c r="T259" i="1"/>
  <c r="U259" i="1" s="1"/>
  <c r="R259" i="1"/>
  <c r="AE258" i="1"/>
  <c r="AX258" i="1" s="1"/>
  <c r="AD258" i="1"/>
  <c r="Y258" i="1"/>
  <c r="T258" i="1"/>
  <c r="U258" i="1" s="1"/>
  <c r="R258" i="1"/>
  <c r="AE257" i="1"/>
  <c r="AX257" i="1" s="1"/>
  <c r="AD257" i="1"/>
  <c r="AA257" i="1"/>
  <c r="Y257" i="1"/>
  <c r="T257" i="1"/>
  <c r="U257" i="1" s="1"/>
  <c r="R257" i="1"/>
  <c r="AE256" i="1"/>
  <c r="AD256" i="1"/>
  <c r="Y256" i="1"/>
  <c r="T256" i="1"/>
  <c r="U256" i="1" s="1"/>
  <c r="R256" i="1"/>
  <c r="AE255" i="1"/>
  <c r="AX255" i="1" s="1"/>
  <c r="AD255" i="1"/>
  <c r="AA255" i="1"/>
  <c r="Y255" i="1"/>
  <c r="T255" i="1"/>
  <c r="U255" i="1" s="1"/>
  <c r="R255" i="1"/>
  <c r="AE254" i="1"/>
  <c r="AX254" i="1" s="1"/>
  <c r="AD254" i="1"/>
  <c r="AA254" i="1"/>
  <c r="Y254" i="1"/>
  <c r="T254" i="1"/>
  <c r="U254" i="1" s="1"/>
  <c r="R254" i="1"/>
  <c r="AE253" i="1"/>
  <c r="AX253" i="1" s="1"/>
  <c r="AD253" i="1"/>
  <c r="AA253" i="1"/>
  <c r="Y253" i="1"/>
  <c r="T253" i="1"/>
  <c r="U253" i="1" s="1"/>
  <c r="R253" i="1"/>
  <c r="AE252" i="1"/>
  <c r="AX252" i="1" s="1"/>
  <c r="AD252" i="1"/>
  <c r="AA252" i="1"/>
  <c r="Y252" i="1"/>
  <c r="T252" i="1"/>
  <c r="U252" i="1" s="1"/>
  <c r="R252" i="1"/>
  <c r="AE251" i="1"/>
  <c r="AX251" i="1" s="1"/>
  <c r="AD251" i="1"/>
  <c r="AA251" i="1"/>
  <c r="Y251" i="1"/>
  <c r="T251" i="1"/>
  <c r="U251" i="1" s="1"/>
  <c r="R251" i="1"/>
  <c r="AE250" i="1"/>
  <c r="AX250" i="1" s="1"/>
  <c r="AD250" i="1"/>
  <c r="AA250" i="1"/>
  <c r="Y250" i="1"/>
  <c r="T250" i="1"/>
  <c r="U250" i="1" s="1"/>
  <c r="AE249" i="1"/>
  <c r="AD249" i="1"/>
  <c r="AA249" i="1"/>
  <c r="Y249" i="1"/>
  <c r="T249" i="1"/>
  <c r="U249" i="1" s="1"/>
  <c r="AE248" i="1"/>
  <c r="AX248" i="1" s="1"/>
  <c r="AD248" i="1"/>
  <c r="AA248" i="1"/>
  <c r="Y248" i="1"/>
  <c r="T248" i="1"/>
  <c r="U248" i="1" s="1"/>
  <c r="AE247" i="1"/>
  <c r="AX247" i="1" s="1"/>
  <c r="AD247" i="1"/>
  <c r="AA247" i="1"/>
  <c r="Y247" i="1"/>
  <c r="T247" i="1"/>
  <c r="U247" i="1" s="1"/>
  <c r="AE246" i="1"/>
  <c r="AX246" i="1" s="1"/>
  <c r="AD246" i="1"/>
  <c r="AA246" i="1"/>
  <c r="Y246" i="1"/>
  <c r="T246" i="1"/>
  <c r="U246" i="1" s="1"/>
  <c r="R246" i="1"/>
  <c r="AE245" i="1"/>
  <c r="AX245" i="1" s="1"/>
  <c r="AD245" i="1"/>
  <c r="AA245" i="1"/>
  <c r="Y245" i="1"/>
  <c r="T245" i="1"/>
  <c r="U245" i="1" s="1"/>
  <c r="R245" i="1"/>
  <c r="AE244" i="1"/>
  <c r="AX244" i="1" s="1"/>
  <c r="AD244" i="1"/>
  <c r="AA244" i="1"/>
  <c r="Y244" i="1"/>
  <c r="T244" i="1"/>
  <c r="U244" i="1" s="1"/>
  <c r="R244" i="1"/>
  <c r="AE243" i="1"/>
  <c r="AX243" i="1" s="1"/>
  <c r="AD243" i="1"/>
  <c r="AA243" i="1"/>
  <c r="Y243" i="1"/>
  <c r="T243" i="1"/>
  <c r="U243" i="1" s="1"/>
  <c r="R243" i="1"/>
  <c r="AE242" i="1"/>
  <c r="AX242" i="1" s="1"/>
  <c r="AD242" i="1"/>
  <c r="AA242" i="1"/>
  <c r="Y242" i="1"/>
  <c r="T242" i="1"/>
  <c r="U242" i="1" s="1"/>
  <c r="R242" i="1"/>
  <c r="AE241" i="1"/>
  <c r="AX241" i="1" s="1"/>
  <c r="AD241" i="1"/>
  <c r="Y241" i="1"/>
  <c r="T241" i="1"/>
  <c r="U241" i="1" s="1"/>
  <c r="R241" i="1"/>
  <c r="AE240" i="1"/>
  <c r="AX240" i="1" s="1"/>
  <c r="AD240" i="1"/>
  <c r="AA240" i="1"/>
  <c r="Y240" i="1"/>
  <c r="T240" i="1"/>
  <c r="U240" i="1" s="1"/>
  <c r="AE239" i="1"/>
  <c r="AD239" i="1"/>
  <c r="AA239" i="1"/>
  <c r="Y239" i="1"/>
  <c r="T239" i="1"/>
  <c r="U239" i="1" s="1"/>
  <c r="R239" i="1"/>
  <c r="AE238" i="1"/>
  <c r="AX238" i="1" s="1"/>
  <c r="AD238" i="1"/>
  <c r="AA238" i="1"/>
  <c r="Y238" i="1"/>
  <c r="T238" i="1"/>
  <c r="U238" i="1" s="1"/>
  <c r="R238" i="1"/>
  <c r="AE237" i="1"/>
  <c r="AX237" i="1" s="1"/>
  <c r="AD237" i="1"/>
  <c r="AA237" i="1"/>
  <c r="Y237" i="1"/>
  <c r="T237" i="1"/>
  <c r="U237" i="1" s="1"/>
  <c r="R237" i="1"/>
  <c r="AE236" i="1"/>
  <c r="AX236" i="1" s="1"/>
  <c r="AD236" i="1"/>
  <c r="Y236" i="1"/>
  <c r="T236" i="1"/>
  <c r="U236" i="1" s="1"/>
  <c r="R236" i="1"/>
  <c r="AE235" i="1"/>
  <c r="AX235" i="1" s="1"/>
  <c r="AD235" i="1"/>
  <c r="AA235" i="1"/>
  <c r="Y235" i="1"/>
  <c r="T235" i="1"/>
  <c r="U235" i="1" s="1"/>
  <c r="R235" i="1"/>
  <c r="AE234" i="1"/>
  <c r="AX234" i="1" s="1"/>
  <c r="AD234" i="1"/>
  <c r="AA234" i="1"/>
  <c r="Y234" i="1"/>
  <c r="T234" i="1"/>
  <c r="U234" i="1" s="1"/>
  <c r="R234" i="1"/>
  <c r="AX233" i="1"/>
  <c r="AD233" i="1"/>
  <c r="AA233" i="1"/>
  <c r="Y233" i="1"/>
  <c r="T233" i="1"/>
  <c r="U233" i="1" s="1"/>
  <c r="R233" i="1"/>
  <c r="AE232" i="1"/>
  <c r="AX232" i="1" s="1"/>
  <c r="AD232" i="1"/>
  <c r="AA232" i="1"/>
  <c r="Y232" i="1"/>
  <c r="T232" i="1"/>
  <c r="U232" i="1" s="1"/>
  <c r="R232" i="1"/>
  <c r="AX231" i="1"/>
  <c r="AD231" i="1"/>
  <c r="AA231" i="1"/>
  <c r="Y231" i="1"/>
  <c r="T231" i="1"/>
  <c r="U231" i="1" s="1"/>
  <c r="R231" i="1"/>
  <c r="AE230" i="1"/>
  <c r="AX230" i="1" s="1"/>
  <c r="AD230" i="1"/>
  <c r="AA230" i="1"/>
  <c r="Y230" i="1"/>
  <c r="T230" i="1"/>
  <c r="U230" i="1" s="1"/>
  <c r="R230" i="1"/>
  <c r="AE228" i="1"/>
  <c r="AX228" i="1" s="1"/>
  <c r="AD228" i="1"/>
  <c r="Y228" i="1"/>
  <c r="T228" i="1"/>
  <c r="U228" i="1" s="1"/>
  <c r="R228" i="1"/>
  <c r="AE227" i="1"/>
  <c r="AX227" i="1" s="1"/>
  <c r="AD227" i="1"/>
  <c r="AA227" i="1"/>
  <c r="Y227" i="1"/>
  <c r="T227" i="1"/>
  <c r="U227" i="1" s="1"/>
  <c r="R227" i="1"/>
  <c r="BJ226" i="1"/>
  <c r="AX226" i="1"/>
  <c r="AA226" i="1"/>
  <c r="Y226" i="1"/>
  <c r="AE225" i="1"/>
  <c r="AX225" i="1" s="1"/>
  <c r="AA225" i="1"/>
  <c r="Y225" i="1"/>
  <c r="T225" i="1"/>
  <c r="U225" i="1" s="1"/>
  <c r="R225" i="1"/>
  <c r="AE224" i="1"/>
  <c r="AD224" i="1"/>
  <c r="AA224" i="1"/>
  <c r="Y224" i="1"/>
  <c r="T224" i="1"/>
  <c r="U224" i="1" s="1"/>
  <c r="R224" i="1"/>
  <c r="AE223" i="1"/>
  <c r="AX223" i="1" s="1"/>
  <c r="AD223" i="1"/>
  <c r="AA223" i="1"/>
  <c r="Y223" i="1"/>
  <c r="T223" i="1"/>
  <c r="U223" i="1" s="1"/>
  <c r="BA222" i="1"/>
  <c r="AE222" i="1"/>
  <c r="AX222" i="1" s="1"/>
  <c r="AD222" i="1"/>
  <c r="AA222" i="1"/>
  <c r="Y222" i="1"/>
  <c r="T222" i="1"/>
  <c r="U222" i="1" s="1"/>
  <c r="AE221" i="1"/>
  <c r="AX221" i="1" s="1"/>
  <c r="AD221" i="1"/>
  <c r="AA221" i="1"/>
  <c r="Y221" i="1"/>
  <c r="T221" i="1"/>
  <c r="U221" i="1" s="1"/>
  <c r="R221" i="1"/>
  <c r="AE220" i="1"/>
  <c r="AX220" i="1" s="1"/>
  <c r="AD220" i="1"/>
  <c r="AA220" i="1"/>
  <c r="Y220" i="1"/>
  <c r="T220" i="1"/>
  <c r="U220" i="1" s="1"/>
  <c r="R220" i="1"/>
  <c r="AE219" i="1"/>
  <c r="AX219" i="1" s="1"/>
  <c r="AD219" i="1"/>
  <c r="Y219" i="1"/>
  <c r="T219" i="1"/>
  <c r="U219" i="1" s="1"/>
  <c r="R219" i="1"/>
  <c r="AE218" i="1"/>
  <c r="AX218" i="1" s="1"/>
  <c r="AD218" i="1"/>
  <c r="AA218" i="1"/>
  <c r="Y218" i="1"/>
  <c r="T218" i="1"/>
  <c r="U218" i="1" s="1"/>
  <c r="R218" i="1"/>
  <c r="AE217" i="1"/>
  <c r="AX217" i="1" s="1"/>
  <c r="AD217" i="1"/>
  <c r="AA217" i="1"/>
  <c r="Y217" i="1"/>
  <c r="T217" i="1"/>
  <c r="U217" i="1" s="1"/>
  <c r="R217" i="1"/>
  <c r="AE216" i="1"/>
  <c r="AX216" i="1" s="1"/>
  <c r="AD216" i="1"/>
  <c r="AA216" i="1"/>
  <c r="Y216" i="1"/>
  <c r="T216" i="1"/>
  <c r="U216" i="1" s="1"/>
  <c r="R216" i="1"/>
  <c r="AE215" i="1"/>
  <c r="AX215" i="1" s="1"/>
  <c r="AD215" i="1"/>
  <c r="AA215" i="1"/>
  <c r="Y215" i="1"/>
  <c r="T215" i="1"/>
  <c r="U215" i="1" s="1"/>
  <c r="R215" i="1"/>
  <c r="AE214" i="1"/>
  <c r="AX214" i="1" s="1"/>
  <c r="AD214" i="1"/>
  <c r="AA214" i="1"/>
  <c r="Y214" i="1"/>
  <c r="T214" i="1"/>
  <c r="U214" i="1" s="1"/>
  <c r="R214" i="1"/>
  <c r="AE213" i="1"/>
  <c r="AD213" i="1"/>
  <c r="AA213" i="1"/>
  <c r="Y213" i="1"/>
  <c r="T213" i="1"/>
  <c r="U213" i="1" s="1"/>
  <c r="R213" i="1"/>
  <c r="AE212" i="1"/>
  <c r="AX212" i="1" s="1"/>
  <c r="AD212" i="1"/>
  <c r="AA212" i="1"/>
  <c r="Y212" i="1"/>
  <c r="T212" i="1"/>
  <c r="U212" i="1" s="1"/>
  <c r="R212" i="1"/>
  <c r="AE211" i="1"/>
  <c r="AX211" i="1" s="1"/>
  <c r="AD211" i="1"/>
  <c r="AA211" i="1"/>
  <c r="Y211" i="1"/>
  <c r="T211" i="1"/>
  <c r="U211" i="1" s="1"/>
  <c r="R211" i="1"/>
  <c r="AE210" i="1"/>
  <c r="AX210" i="1" s="1"/>
  <c r="AD210" i="1"/>
  <c r="AA210" i="1"/>
  <c r="Y210" i="1"/>
  <c r="T210" i="1"/>
  <c r="U210" i="1" s="1"/>
  <c r="R210" i="1"/>
  <c r="AE209" i="1"/>
  <c r="AX209" i="1" s="1"/>
  <c r="AD209" i="1"/>
  <c r="AA209" i="1"/>
  <c r="Y209" i="1"/>
  <c r="T209" i="1"/>
  <c r="U209" i="1" s="1"/>
  <c r="R209" i="1"/>
  <c r="AE208" i="1"/>
  <c r="BJ208" i="1" s="1"/>
  <c r="AD208" i="1"/>
  <c r="AA208" i="1"/>
  <c r="Y208" i="1"/>
  <c r="T208" i="1"/>
  <c r="R208" i="1"/>
  <c r="AE207" i="1"/>
  <c r="AX207" i="1" s="1"/>
  <c r="AD207" i="1"/>
  <c r="AA207" i="1"/>
  <c r="Y207" i="1"/>
  <c r="T207" i="1"/>
  <c r="U207" i="1" s="1"/>
  <c r="R207" i="1"/>
  <c r="AE206" i="1"/>
  <c r="AX206" i="1" s="1"/>
  <c r="AD206" i="1"/>
  <c r="AA206" i="1"/>
  <c r="Y206" i="1"/>
  <c r="T206" i="1"/>
  <c r="U206" i="1" s="1"/>
  <c r="R206" i="1"/>
  <c r="AE205" i="1"/>
  <c r="AD205" i="1"/>
  <c r="AA205" i="1"/>
  <c r="Y205" i="1"/>
  <c r="T205" i="1"/>
  <c r="U205" i="1" s="1"/>
  <c r="R205" i="1"/>
  <c r="AE204" i="1"/>
  <c r="AX204" i="1" s="1"/>
  <c r="AD204" i="1"/>
  <c r="AA204" i="1"/>
  <c r="Y204" i="1"/>
  <c r="T204" i="1"/>
  <c r="U204" i="1" s="1"/>
  <c r="R204" i="1"/>
  <c r="AE203" i="1"/>
  <c r="AX203" i="1" s="1"/>
  <c r="AD203" i="1"/>
  <c r="AA203" i="1"/>
  <c r="Y203" i="1"/>
  <c r="T203" i="1"/>
  <c r="U203" i="1" s="1"/>
  <c r="R203" i="1"/>
  <c r="AE202" i="1"/>
  <c r="BJ202" i="1" s="1"/>
  <c r="AD202" i="1"/>
  <c r="AA202" i="1"/>
  <c r="Y202" i="1"/>
  <c r="R202" i="1"/>
  <c r="AE201" i="1"/>
  <c r="AX201" i="1" s="1"/>
  <c r="AD201" i="1"/>
  <c r="AA201" i="1"/>
  <c r="Y201" i="1"/>
  <c r="T201" i="1"/>
  <c r="U201" i="1" s="1"/>
  <c r="R201" i="1"/>
  <c r="AE200" i="1"/>
  <c r="AX200" i="1" s="1"/>
  <c r="AD200" i="1"/>
  <c r="AA200" i="1"/>
  <c r="Y200" i="1"/>
  <c r="T200" i="1"/>
  <c r="U200" i="1" s="1"/>
  <c r="R200" i="1"/>
  <c r="AE199" i="1"/>
  <c r="BJ199" i="1" s="1"/>
  <c r="AD199" i="1"/>
  <c r="AA199" i="1"/>
  <c r="Y199" i="1"/>
  <c r="R199" i="1"/>
  <c r="AE198" i="1"/>
  <c r="AX198" i="1" s="1"/>
  <c r="AD198" i="1"/>
  <c r="AA198" i="1"/>
  <c r="Y198" i="1"/>
  <c r="T198" i="1"/>
  <c r="U198" i="1" s="1"/>
  <c r="AE197" i="1"/>
  <c r="AX197" i="1" s="1"/>
  <c r="AD197" i="1"/>
  <c r="AA197" i="1"/>
  <c r="Y197" i="1"/>
  <c r="T197" i="1"/>
  <c r="U197" i="1" s="1"/>
  <c r="R197" i="1"/>
  <c r="AE196" i="1"/>
  <c r="AX196" i="1" s="1"/>
  <c r="AA196" i="1"/>
  <c r="Y196" i="1"/>
  <c r="T196" i="1"/>
  <c r="U196" i="1" s="1"/>
  <c r="R196" i="1"/>
  <c r="AE195" i="1"/>
  <c r="AX195" i="1" s="1"/>
  <c r="AD195" i="1"/>
  <c r="AA195" i="1"/>
  <c r="Y195" i="1"/>
  <c r="T195" i="1"/>
  <c r="U195" i="1" s="1"/>
  <c r="R195" i="1"/>
  <c r="AE194" i="1"/>
  <c r="AX194" i="1" s="1"/>
  <c r="AD194" i="1"/>
  <c r="AA194" i="1"/>
  <c r="Y194" i="1"/>
  <c r="T194" i="1"/>
  <c r="U194" i="1" s="1"/>
  <c r="R194" i="1"/>
  <c r="AE192" i="1"/>
  <c r="BJ192" i="1" s="1"/>
  <c r="AD192" i="1"/>
  <c r="AA192" i="1"/>
  <c r="Y192" i="1"/>
  <c r="R192" i="1"/>
  <c r="AE191" i="1"/>
  <c r="AX191" i="1" s="1"/>
  <c r="AD191" i="1"/>
  <c r="AA191" i="1"/>
  <c r="Y191" i="1"/>
  <c r="T191" i="1"/>
  <c r="U191" i="1" s="1"/>
  <c r="R191" i="1"/>
  <c r="AE190" i="1"/>
  <c r="AD190" i="1"/>
  <c r="AA190" i="1"/>
  <c r="Y190" i="1"/>
  <c r="T190" i="1"/>
  <c r="U190" i="1" s="1"/>
  <c r="R190" i="1"/>
  <c r="AE189" i="1"/>
  <c r="AX189" i="1" s="1"/>
  <c r="AD189" i="1"/>
  <c r="AA189" i="1"/>
  <c r="Y189" i="1"/>
  <c r="T189" i="1"/>
  <c r="U189" i="1" s="1"/>
  <c r="R189" i="1"/>
  <c r="AE188" i="1"/>
  <c r="AX188" i="1" s="1"/>
  <c r="AD188" i="1"/>
  <c r="AA188" i="1"/>
  <c r="Y188" i="1"/>
  <c r="T188" i="1"/>
  <c r="U188" i="1" s="1"/>
  <c r="R188" i="1"/>
  <c r="AE187" i="1"/>
  <c r="AX187" i="1" s="1"/>
  <c r="AD187" i="1"/>
  <c r="AA187" i="1"/>
  <c r="Y187" i="1"/>
  <c r="T187" i="1"/>
  <c r="U187" i="1" s="1"/>
  <c r="AE186" i="1"/>
  <c r="AX186" i="1" s="1"/>
  <c r="AD186" i="1"/>
  <c r="AA186" i="1"/>
  <c r="Y186" i="1"/>
  <c r="T186" i="1"/>
  <c r="U186" i="1" s="1"/>
  <c r="A186" i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E185" i="1"/>
  <c r="AD185" i="1"/>
  <c r="AA185" i="1"/>
  <c r="Y185" i="1"/>
  <c r="T185" i="1"/>
  <c r="U185" i="1" s="1"/>
  <c r="R185" i="1"/>
  <c r="AE184" i="1"/>
  <c r="AX184" i="1" s="1"/>
  <c r="AD184" i="1"/>
  <c r="AA184" i="1"/>
  <c r="Y184" i="1"/>
  <c r="T184" i="1"/>
  <c r="U184" i="1" s="1"/>
  <c r="R184" i="1"/>
  <c r="AE183" i="1"/>
  <c r="AX183" i="1" s="1"/>
  <c r="AD183" i="1"/>
  <c r="AA183" i="1"/>
  <c r="Y183" i="1"/>
  <c r="T183" i="1"/>
  <c r="U183" i="1" s="1"/>
  <c r="R183" i="1"/>
  <c r="AE182" i="1"/>
  <c r="AX182" i="1" s="1"/>
  <c r="AD182" i="1"/>
  <c r="AA182" i="1"/>
  <c r="Y182" i="1"/>
  <c r="T182" i="1"/>
  <c r="U182" i="1" s="1"/>
  <c r="AE181" i="1"/>
  <c r="AX181" i="1" s="1"/>
  <c r="AD181" i="1"/>
  <c r="AA181" i="1"/>
  <c r="Y181" i="1"/>
  <c r="T181" i="1"/>
  <c r="U181" i="1" s="1"/>
  <c r="R181" i="1"/>
  <c r="AE180" i="1"/>
  <c r="AX180" i="1" s="1"/>
  <c r="AD180" i="1"/>
  <c r="AA180" i="1"/>
  <c r="Y180" i="1"/>
  <c r="T180" i="1"/>
  <c r="U180" i="1" s="1"/>
  <c r="BJ180" i="1" s="1"/>
  <c r="R180" i="1"/>
  <c r="AE179" i="1"/>
  <c r="AX179" i="1" s="1"/>
  <c r="AD179" i="1"/>
  <c r="AA179" i="1"/>
  <c r="Y179" i="1"/>
  <c r="T179" i="1"/>
  <c r="U179" i="1" s="1"/>
  <c r="R179" i="1"/>
  <c r="AE178" i="1"/>
  <c r="AX178" i="1" s="1"/>
  <c r="AD178" i="1"/>
  <c r="AA178" i="1"/>
  <c r="Y178" i="1"/>
  <c r="T178" i="1"/>
  <c r="U178" i="1" s="1"/>
  <c r="R178" i="1"/>
  <c r="AE177" i="1"/>
  <c r="AX177" i="1" s="1"/>
  <c r="AD177" i="1"/>
  <c r="AA177" i="1"/>
  <c r="Y177" i="1"/>
  <c r="T177" i="1"/>
  <c r="U177" i="1" s="1"/>
  <c r="R177" i="1"/>
  <c r="A177" i="1"/>
  <c r="A178" i="1" s="1"/>
  <c r="A179" i="1" s="1"/>
  <c r="A180" i="1" s="1"/>
  <c r="A181" i="1" s="1"/>
  <c r="A182" i="1" s="1"/>
  <c r="A183" i="1" s="1"/>
  <c r="A184" i="1" s="1"/>
  <c r="A185" i="1" s="1"/>
  <c r="AE176" i="1"/>
  <c r="AX176" i="1" s="1"/>
  <c r="AD176" i="1"/>
  <c r="Y176" i="1"/>
  <c r="T176" i="1"/>
  <c r="U176" i="1" s="1"/>
  <c r="R176" i="1"/>
  <c r="AE175" i="1"/>
  <c r="AX175" i="1" s="1"/>
  <c r="AD175" i="1"/>
  <c r="AA175" i="1"/>
  <c r="Y175" i="1"/>
  <c r="T175" i="1"/>
  <c r="U175" i="1" s="1"/>
  <c r="R175" i="1"/>
  <c r="AE174" i="1"/>
  <c r="AX174" i="1" s="1"/>
  <c r="AD174" i="1"/>
  <c r="AA174" i="1"/>
  <c r="Y174" i="1"/>
  <c r="T174" i="1"/>
  <c r="U174" i="1" s="1"/>
  <c r="R174" i="1"/>
  <c r="AE173" i="1"/>
  <c r="AX173" i="1" s="1"/>
  <c r="AD173" i="1"/>
  <c r="AA173" i="1"/>
  <c r="Y173" i="1"/>
  <c r="T173" i="1"/>
  <c r="U173" i="1" s="1"/>
  <c r="R173" i="1"/>
  <c r="AE172" i="1"/>
  <c r="AD172" i="1"/>
  <c r="AA172" i="1"/>
  <c r="Y172" i="1"/>
  <c r="T172" i="1"/>
  <c r="U172" i="1" s="1"/>
  <c r="AE171" i="1"/>
  <c r="AX171" i="1" s="1"/>
  <c r="AD171" i="1"/>
  <c r="AA171" i="1"/>
  <c r="Y171" i="1"/>
  <c r="T171" i="1"/>
  <c r="U171" i="1" s="1"/>
  <c r="R171" i="1"/>
  <c r="AE170" i="1"/>
  <c r="AX170" i="1" s="1"/>
  <c r="AD170" i="1"/>
  <c r="AA170" i="1"/>
  <c r="Y170" i="1"/>
  <c r="T170" i="1"/>
  <c r="U170" i="1" s="1"/>
  <c r="R170" i="1"/>
  <c r="AE169" i="1"/>
  <c r="AD169" i="1"/>
  <c r="AA169" i="1"/>
  <c r="Y169" i="1"/>
  <c r="T169" i="1"/>
  <c r="U169" i="1" s="1"/>
  <c r="R169" i="1"/>
  <c r="AE168" i="1"/>
  <c r="AX168" i="1" s="1"/>
  <c r="AD168" i="1"/>
  <c r="AA168" i="1"/>
  <c r="Y168" i="1"/>
  <c r="T168" i="1"/>
  <c r="U168" i="1" s="1"/>
  <c r="AE167" i="1"/>
  <c r="BJ167" i="1" s="1"/>
  <c r="AA167" i="1"/>
  <c r="Y167" i="1"/>
  <c r="R167" i="1"/>
  <c r="AE166" i="1"/>
  <c r="AX166" i="1" s="1"/>
  <c r="AD166" i="1"/>
  <c r="AA166" i="1"/>
  <c r="Y166" i="1"/>
  <c r="T166" i="1"/>
  <c r="U166" i="1" s="1"/>
  <c r="R166" i="1"/>
  <c r="AE165" i="1"/>
  <c r="AX165" i="1" s="1"/>
  <c r="AD165" i="1"/>
  <c r="AA165" i="1"/>
  <c r="Y165" i="1"/>
  <c r="T165" i="1"/>
  <c r="U165" i="1" s="1"/>
  <c r="R165" i="1"/>
  <c r="AE164" i="1"/>
  <c r="AX164" i="1" s="1"/>
  <c r="AD164" i="1"/>
  <c r="AA164" i="1"/>
  <c r="Y164" i="1"/>
  <c r="T164" i="1"/>
  <c r="U164" i="1" s="1"/>
  <c r="R164" i="1"/>
  <c r="AE163" i="1"/>
  <c r="AX163" i="1" s="1"/>
  <c r="AA163" i="1"/>
  <c r="Y163" i="1"/>
  <c r="T163" i="1"/>
  <c r="U163" i="1" s="1"/>
  <c r="AE162" i="1"/>
  <c r="AX162" i="1" s="1"/>
  <c r="AD162" i="1"/>
  <c r="AA162" i="1"/>
  <c r="Y162" i="1"/>
  <c r="T162" i="1"/>
  <c r="U162" i="1" s="1"/>
  <c r="R162" i="1"/>
  <c r="AE161" i="1"/>
  <c r="AX161" i="1" s="1"/>
  <c r="AD161" i="1"/>
  <c r="AA161" i="1"/>
  <c r="Y161" i="1"/>
  <c r="T161" i="1"/>
  <c r="U161" i="1" s="1"/>
  <c r="R161" i="1"/>
  <c r="AE160" i="1"/>
  <c r="AX160" i="1" s="1"/>
  <c r="AA160" i="1"/>
  <c r="Y160" i="1"/>
  <c r="T160" i="1"/>
  <c r="U160" i="1" s="1"/>
  <c r="R160" i="1"/>
  <c r="AE159" i="1"/>
  <c r="AX159" i="1" s="1"/>
  <c r="AD159" i="1"/>
  <c r="Y159" i="1"/>
  <c r="T159" i="1"/>
  <c r="U159" i="1" s="1"/>
  <c r="R159" i="1"/>
  <c r="AE158" i="1"/>
  <c r="AX158" i="1" s="1"/>
  <c r="AD158" i="1"/>
  <c r="AA158" i="1"/>
  <c r="Y158" i="1"/>
  <c r="T158" i="1"/>
  <c r="U158" i="1" s="1"/>
  <c r="R158" i="1"/>
  <c r="AE157" i="1"/>
  <c r="AX157" i="1" s="1"/>
  <c r="AD157" i="1"/>
  <c r="AA157" i="1"/>
  <c r="Y157" i="1"/>
  <c r="T157" i="1"/>
  <c r="U157" i="1" s="1"/>
  <c r="R157" i="1"/>
  <c r="AE156" i="1"/>
  <c r="AX156" i="1" s="1"/>
  <c r="AD156" i="1"/>
  <c r="AA156" i="1"/>
  <c r="Y156" i="1"/>
  <c r="T156" i="1"/>
  <c r="U156" i="1" s="1"/>
  <c r="R156" i="1"/>
  <c r="AE155" i="1"/>
  <c r="AX155" i="1" s="1"/>
  <c r="AD155" i="1"/>
  <c r="AA155" i="1"/>
  <c r="Y155" i="1"/>
  <c r="T155" i="1"/>
  <c r="U155" i="1" s="1"/>
  <c r="AE154" i="1"/>
  <c r="AX154" i="1" s="1"/>
  <c r="AD154" i="1"/>
  <c r="AA154" i="1"/>
  <c r="Y154" i="1"/>
  <c r="T154" i="1"/>
  <c r="U154" i="1" s="1"/>
  <c r="AE153" i="1"/>
  <c r="AX153" i="1" s="1"/>
  <c r="AD153" i="1"/>
  <c r="AA153" i="1"/>
  <c r="Y153" i="1"/>
  <c r="T153" i="1"/>
  <c r="U153" i="1" s="1"/>
  <c r="BJ153" i="1" s="1"/>
  <c r="AE152" i="1"/>
  <c r="AX152" i="1" s="1"/>
  <c r="AD152" i="1"/>
  <c r="AA152" i="1"/>
  <c r="Y152" i="1"/>
  <c r="T152" i="1"/>
  <c r="U152" i="1" s="1"/>
  <c r="AE151" i="1"/>
  <c r="AX151" i="1" s="1"/>
  <c r="AD151" i="1"/>
  <c r="AA151" i="1"/>
  <c r="Y151" i="1"/>
  <c r="T151" i="1"/>
  <c r="U151" i="1" s="1"/>
  <c r="AE150" i="1"/>
  <c r="AX150" i="1" s="1"/>
  <c r="AD150" i="1"/>
  <c r="AA150" i="1"/>
  <c r="Y150" i="1"/>
  <c r="T150" i="1"/>
  <c r="U150" i="1" s="1"/>
  <c r="R150" i="1"/>
  <c r="AE149" i="1"/>
  <c r="AX149" i="1" s="1"/>
  <c r="AD149" i="1"/>
  <c r="AA149" i="1"/>
  <c r="Y149" i="1"/>
  <c r="T149" i="1"/>
  <c r="U149" i="1" s="1"/>
  <c r="AE148" i="1"/>
  <c r="AX148" i="1" s="1"/>
  <c r="AD148" i="1"/>
  <c r="AA148" i="1"/>
  <c r="Y148" i="1"/>
  <c r="T148" i="1"/>
  <c r="U148" i="1" s="1"/>
  <c r="R148" i="1"/>
  <c r="AE147" i="1"/>
  <c r="AX147" i="1" s="1"/>
  <c r="AD147" i="1"/>
  <c r="AA147" i="1"/>
  <c r="Y147" i="1"/>
  <c r="T147" i="1"/>
  <c r="U147" i="1" s="1"/>
  <c r="R147" i="1"/>
  <c r="AE146" i="1"/>
  <c r="AD146" i="1"/>
  <c r="AA146" i="1"/>
  <c r="Y146" i="1"/>
  <c r="T146" i="1"/>
  <c r="U146" i="1" s="1"/>
  <c r="R146" i="1"/>
  <c r="AE145" i="1"/>
  <c r="AX145" i="1" s="1"/>
  <c r="AD145" i="1"/>
  <c r="AA145" i="1"/>
  <c r="Y145" i="1"/>
  <c r="T145" i="1"/>
  <c r="U145" i="1" s="1"/>
  <c r="R145" i="1"/>
  <c r="AE144" i="1"/>
  <c r="AX144" i="1" s="1"/>
  <c r="AD144" i="1"/>
  <c r="AA144" i="1"/>
  <c r="Y144" i="1"/>
  <c r="U144" i="1"/>
  <c r="R144" i="1"/>
  <c r="AE143" i="1"/>
  <c r="AX143" i="1" s="1"/>
  <c r="AD143" i="1"/>
  <c r="AA143" i="1"/>
  <c r="Y143" i="1"/>
  <c r="R143" i="1"/>
  <c r="AE142" i="1"/>
  <c r="BJ142" i="1" s="1"/>
  <c r="AD142" i="1"/>
  <c r="AA142" i="1"/>
  <c r="Y142" i="1"/>
  <c r="R142" i="1"/>
  <c r="AE141" i="1"/>
  <c r="AX141" i="1" s="1"/>
  <c r="AD141" i="1"/>
  <c r="AA141" i="1"/>
  <c r="Y141" i="1"/>
  <c r="T141" i="1"/>
  <c r="U141" i="1" s="1"/>
  <c r="R141" i="1"/>
  <c r="AE140" i="1"/>
  <c r="AX140" i="1" s="1"/>
  <c r="AD140" i="1"/>
  <c r="AA140" i="1"/>
  <c r="Y140" i="1"/>
  <c r="T140" i="1"/>
  <c r="U140" i="1" s="1"/>
  <c r="R140" i="1"/>
  <c r="AE139" i="1"/>
  <c r="AD139" i="1"/>
  <c r="AA139" i="1"/>
  <c r="Y139" i="1"/>
  <c r="T139" i="1"/>
  <c r="U139" i="1" s="1"/>
  <c r="AE138" i="1"/>
  <c r="AX138" i="1" s="1"/>
  <c r="AD138" i="1"/>
  <c r="AA138" i="1"/>
  <c r="Y138" i="1"/>
  <c r="T138" i="1"/>
  <c r="U138" i="1" s="1"/>
  <c r="R138" i="1"/>
  <c r="AE137" i="1"/>
  <c r="AX137" i="1" s="1"/>
  <c r="AD137" i="1"/>
  <c r="AA137" i="1"/>
  <c r="Y137" i="1"/>
  <c r="T137" i="1"/>
  <c r="U137" i="1" s="1"/>
  <c r="R137" i="1"/>
  <c r="AX136" i="1"/>
  <c r="AD136" i="1"/>
  <c r="AA136" i="1"/>
  <c r="Y136" i="1"/>
  <c r="T136" i="1"/>
  <c r="U136" i="1" s="1"/>
  <c r="R136" i="1"/>
  <c r="AE135" i="1"/>
  <c r="AX135" i="1" s="1"/>
  <c r="AD135" i="1"/>
  <c r="AA135" i="1"/>
  <c r="Y135" i="1"/>
  <c r="T135" i="1"/>
  <c r="U135" i="1" s="1"/>
  <c r="R135" i="1"/>
  <c r="AE134" i="1"/>
  <c r="AD134" i="1"/>
  <c r="AA134" i="1"/>
  <c r="Y134" i="1"/>
  <c r="T134" i="1"/>
  <c r="U134" i="1" s="1"/>
  <c r="R134" i="1"/>
  <c r="AE133" i="1"/>
  <c r="AX133" i="1" s="1"/>
  <c r="AD133" i="1"/>
  <c r="AA133" i="1"/>
  <c r="Y133" i="1"/>
  <c r="T133" i="1"/>
  <c r="U133" i="1" s="1"/>
  <c r="BJ133" i="1" s="1"/>
  <c r="R133" i="1"/>
  <c r="AE132" i="1"/>
  <c r="AX132" i="1" s="1"/>
  <c r="AD132" i="1"/>
  <c r="AA132" i="1"/>
  <c r="Y132" i="1"/>
  <c r="T132" i="1"/>
  <c r="U132" i="1" s="1"/>
  <c r="R132" i="1"/>
  <c r="AE131" i="1"/>
  <c r="AX131" i="1" s="1"/>
  <c r="AD131" i="1"/>
  <c r="AA131" i="1"/>
  <c r="Y131" i="1"/>
  <c r="T131" i="1"/>
  <c r="R131" i="1"/>
  <c r="AE130" i="1"/>
  <c r="AX130" i="1" s="1"/>
  <c r="AD130" i="1"/>
  <c r="AA130" i="1"/>
  <c r="Y130" i="1"/>
  <c r="T130" i="1"/>
  <c r="U130" i="1" s="1"/>
  <c r="R130" i="1"/>
  <c r="AE129" i="1"/>
  <c r="AD129" i="1"/>
  <c r="AA129" i="1"/>
  <c r="Y129" i="1"/>
  <c r="R129" i="1"/>
  <c r="AE128" i="1"/>
  <c r="AX128" i="1" s="1"/>
  <c r="AD128" i="1"/>
  <c r="AA128" i="1"/>
  <c r="Y128" i="1"/>
  <c r="T128" i="1"/>
  <c r="U128" i="1" s="1"/>
  <c r="R128" i="1"/>
  <c r="AE127" i="1"/>
  <c r="AX127" i="1" s="1"/>
  <c r="AD127" i="1"/>
  <c r="AA127" i="1"/>
  <c r="Y127" i="1"/>
  <c r="T127" i="1"/>
  <c r="U127" i="1" s="1"/>
  <c r="R127" i="1"/>
  <c r="AE126" i="1"/>
  <c r="AX126" i="1" s="1"/>
  <c r="AD126" i="1"/>
  <c r="AA126" i="1"/>
  <c r="Y126" i="1"/>
  <c r="T126" i="1"/>
  <c r="U126" i="1" s="1"/>
  <c r="R126" i="1"/>
  <c r="AE125" i="1"/>
  <c r="AX125" i="1" s="1"/>
  <c r="AD125" i="1"/>
  <c r="AA125" i="1"/>
  <c r="Y125" i="1"/>
  <c r="T125" i="1"/>
  <c r="U125" i="1" s="1"/>
  <c r="R125" i="1"/>
  <c r="AE124" i="1"/>
  <c r="AX124" i="1" s="1"/>
  <c r="AD124" i="1"/>
  <c r="AA124" i="1"/>
  <c r="Y124" i="1"/>
  <c r="T124" i="1"/>
  <c r="U124" i="1" s="1"/>
  <c r="R124" i="1"/>
  <c r="AE123" i="1"/>
  <c r="AX123" i="1" s="1"/>
  <c r="AD123" i="1"/>
  <c r="AA123" i="1"/>
  <c r="Y123" i="1"/>
  <c r="T123" i="1"/>
  <c r="U123" i="1" s="1"/>
  <c r="R123" i="1"/>
  <c r="AE122" i="1"/>
  <c r="AD122" i="1"/>
  <c r="Y122" i="1"/>
  <c r="T122" i="1"/>
  <c r="U122" i="1" s="1"/>
  <c r="R122" i="1"/>
  <c r="AE121" i="1"/>
  <c r="AD121" i="1"/>
  <c r="AA121" i="1"/>
  <c r="Y121" i="1"/>
  <c r="R121" i="1"/>
  <c r="AE120" i="1"/>
  <c r="AX120" i="1" s="1"/>
  <c r="AD120" i="1"/>
  <c r="AA120" i="1"/>
  <c r="Y120" i="1"/>
  <c r="T120" i="1"/>
  <c r="U120" i="1" s="1"/>
  <c r="R120" i="1"/>
  <c r="AE119" i="1"/>
  <c r="AD119" i="1"/>
  <c r="AA119" i="1"/>
  <c r="Y119" i="1"/>
  <c r="T119" i="1"/>
  <c r="U119" i="1" s="1"/>
  <c r="R119" i="1"/>
  <c r="AE118" i="1"/>
  <c r="BJ118" i="1" s="1"/>
  <c r="AD118" i="1"/>
  <c r="AA118" i="1"/>
  <c r="Y118" i="1"/>
  <c r="R118" i="1"/>
  <c r="AE117" i="1"/>
  <c r="BJ117" i="1" s="1"/>
  <c r="AD117" i="1"/>
  <c r="AA117" i="1"/>
  <c r="Y117" i="1"/>
  <c r="R117" i="1"/>
  <c r="AE116" i="1"/>
  <c r="AX116" i="1" s="1"/>
  <c r="AD116" i="1"/>
  <c r="AA116" i="1"/>
  <c r="Y116" i="1"/>
  <c r="T116" i="1"/>
  <c r="U116" i="1" s="1"/>
  <c r="AE115" i="1"/>
  <c r="AX115" i="1" s="1"/>
  <c r="AD115" i="1"/>
  <c r="AA115" i="1"/>
  <c r="Y115" i="1"/>
  <c r="T115" i="1"/>
  <c r="U115" i="1" s="1"/>
  <c r="R115" i="1"/>
  <c r="AE114" i="1"/>
  <c r="AX114" i="1" s="1"/>
  <c r="AD114" i="1"/>
  <c r="AA114" i="1"/>
  <c r="Y114" i="1"/>
  <c r="T114" i="1"/>
  <c r="U114" i="1" s="1"/>
  <c r="AE113" i="1"/>
  <c r="AX113" i="1" s="1"/>
  <c r="AD113" i="1"/>
  <c r="AA113" i="1"/>
  <c r="Y113" i="1"/>
  <c r="T113" i="1"/>
  <c r="U113" i="1" s="1"/>
  <c r="R113" i="1"/>
  <c r="AE112" i="1"/>
  <c r="AX112" i="1" s="1"/>
  <c r="AD112" i="1"/>
  <c r="AA112" i="1"/>
  <c r="Y112" i="1"/>
  <c r="T112" i="1"/>
  <c r="U112" i="1" s="1"/>
  <c r="R112" i="1"/>
  <c r="AE111" i="1"/>
  <c r="AX111" i="1" s="1"/>
  <c r="AD111" i="1"/>
  <c r="AA111" i="1"/>
  <c r="Y111" i="1"/>
  <c r="T111" i="1"/>
  <c r="U111" i="1" s="1"/>
  <c r="AE110" i="1"/>
  <c r="AX110" i="1" s="1"/>
  <c r="AD110" i="1"/>
  <c r="AA110" i="1"/>
  <c r="Y110" i="1"/>
  <c r="T110" i="1"/>
  <c r="U110" i="1" s="1"/>
  <c r="R110" i="1"/>
  <c r="AE109" i="1"/>
  <c r="AX109" i="1" s="1"/>
  <c r="AD109" i="1"/>
  <c r="AA109" i="1"/>
  <c r="Y109" i="1"/>
  <c r="T109" i="1"/>
  <c r="U109" i="1" s="1"/>
  <c r="R109" i="1"/>
  <c r="AE108" i="1"/>
  <c r="AX108" i="1" s="1"/>
  <c r="AD108" i="1"/>
  <c r="AA108" i="1"/>
  <c r="Y108" i="1"/>
  <c r="T108" i="1"/>
  <c r="U108" i="1" s="1"/>
  <c r="BJ108" i="1" s="1"/>
  <c r="R108" i="1"/>
  <c r="AE107" i="1"/>
  <c r="AX107" i="1" s="1"/>
  <c r="AD107" i="1"/>
  <c r="AA107" i="1"/>
  <c r="Y107" i="1"/>
  <c r="T107" i="1"/>
  <c r="U107" i="1" s="1"/>
  <c r="R107" i="1"/>
  <c r="AE106" i="1"/>
  <c r="AX106" i="1" s="1"/>
  <c r="AD106" i="1"/>
  <c r="AA106" i="1"/>
  <c r="Y106" i="1"/>
  <c r="T106" i="1"/>
  <c r="U106" i="1" s="1"/>
  <c r="BJ106" i="1" s="1"/>
  <c r="R106" i="1"/>
  <c r="AE105" i="1"/>
  <c r="AX105" i="1" s="1"/>
  <c r="AD105" i="1"/>
  <c r="AA105" i="1"/>
  <c r="Y105" i="1"/>
  <c r="T105" i="1"/>
  <c r="U105" i="1" s="1"/>
  <c r="R105" i="1"/>
  <c r="AE104" i="1"/>
  <c r="AX104" i="1" s="1"/>
  <c r="AD104" i="1"/>
  <c r="AA104" i="1"/>
  <c r="Y104" i="1"/>
  <c r="T104" i="1"/>
  <c r="U104" i="1" s="1"/>
  <c r="R104" i="1"/>
  <c r="AE103" i="1"/>
  <c r="AX103" i="1" s="1"/>
  <c r="AD103" i="1"/>
  <c r="AA103" i="1"/>
  <c r="Y103" i="1"/>
  <c r="T103" i="1"/>
  <c r="U103" i="1" s="1"/>
  <c r="R103" i="1"/>
  <c r="BJ102" i="1"/>
  <c r="AX102" i="1"/>
  <c r="AD102" i="1"/>
  <c r="AA102" i="1"/>
  <c r="Y102" i="1"/>
  <c r="R102" i="1"/>
  <c r="AE101" i="1"/>
  <c r="AX101" i="1" s="1"/>
  <c r="AD101" i="1"/>
  <c r="AA101" i="1"/>
  <c r="Y101" i="1"/>
  <c r="T101" i="1"/>
  <c r="U101" i="1" s="1"/>
  <c r="R101" i="1"/>
  <c r="AE100" i="1"/>
  <c r="AX100" i="1" s="1"/>
  <c r="AD100" i="1"/>
  <c r="AA100" i="1"/>
  <c r="Y100" i="1"/>
  <c r="T100" i="1"/>
  <c r="U100" i="1" s="1"/>
  <c r="R100" i="1"/>
  <c r="AE99" i="1"/>
  <c r="AX99" i="1" s="1"/>
  <c r="AD99" i="1"/>
  <c r="Y99" i="1"/>
  <c r="T99" i="1"/>
  <c r="U99" i="1" s="1"/>
  <c r="R99" i="1"/>
  <c r="AX98" i="1"/>
  <c r="AD98" i="1"/>
  <c r="Y98" i="1"/>
  <c r="T98" i="1"/>
  <c r="U98" i="1" s="1"/>
  <c r="BJ98" i="1" s="1"/>
  <c r="R98" i="1"/>
  <c r="AE97" i="1"/>
  <c r="AX97" i="1" s="1"/>
  <c r="AD97" i="1"/>
  <c r="AA97" i="1"/>
  <c r="Y97" i="1"/>
  <c r="A97" i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E95" i="1"/>
  <c r="AX95" i="1" s="1"/>
  <c r="AD95" i="1"/>
  <c r="AA95" i="1"/>
  <c r="Y95" i="1"/>
  <c r="T95" i="1"/>
  <c r="U95" i="1" s="1"/>
  <c r="R95" i="1"/>
  <c r="AE94" i="1"/>
  <c r="AX94" i="1" s="1"/>
  <c r="AD94" i="1"/>
  <c r="AA94" i="1"/>
  <c r="Y94" i="1"/>
  <c r="T94" i="1"/>
  <c r="U94" i="1" s="1"/>
  <c r="R94" i="1"/>
  <c r="AE93" i="1"/>
  <c r="AD93" i="1"/>
  <c r="Y93" i="1"/>
  <c r="T93" i="1"/>
  <c r="R93" i="1"/>
  <c r="AE92" i="1"/>
  <c r="AX92" i="1" s="1"/>
  <c r="AD92" i="1"/>
  <c r="Y92" i="1"/>
  <c r="T92" i="1"/>
  <c r="U92" i="1" s="1"/>
  <c r="R92" i="1"/>
  <c r="AE91" i="1"/>
  <c r="AX91" i="1" s="1"/>
  <c r="AD91" i="1"/>
  <c r="AA91" i="1"/>
  <c r="Y91" i="1"/>
  <c r="T91" i="1"/>
  <c r="U91" i="1" s="1"/>
  <c r="R91" i="1"/>
  <c r="AE90" i="1"/>
  <c r="AX90" i="1" s="1"/>
  <c r="AD90" i="1"/>
  <c r="AA90" i="1"/>
  <c r="Y90" i="1"/>
  <c r="T90" i="1"/>
  <c r="U90" i="1" s="1"/>
  <c r="AE89" i="1"/>
  <c r="AX89" i="1" s="1"/>
  <c r="AD89" i="1"/>
  <c r="AA89" i="1"/>
  <c r="Y89" i="1"/>
  <c r="T89" i="1"/>
  <c r="U89" i="1" s="1"/>
  <c r="R89" i="1"/>
  <c r="AE88" i="1"/>
  <c r="AX88" i="1" s="1"/>
  <c r="AD88" i="1"/>
  <c r="AA88" i="1"/>
  <c r="Y88" i="1"/>
  <c r="T88" i="1"/>
  <c r="U88" i="1" s="1"/>
  <c r="R88" i="1"/>
  <c r="AE87" i="1"/>
  <c r="AX87" i="1" s="1"/>
  <c r="AD87" i="1"/>
  <c r="AA87" i="1"/>
  <c r="Y87" i="1"/>
  <c r="T87" i="1"/>
  <c r="U87" i="1" s="1"/>
  <c r="AE86" i="1"/>
  <c r="AX86" i="1" s="1"/>
  <c r="AD86" i="1"/>
  <c r="AA86" i="1"/>
  <c r="Y86" i="1"/>
  <c r="T86" i="1"/>
  <c r="U86" i="1" s="1"/>
  <c r="R86" i="1"/>
  <c r="AE85" i="1"/>
  <c r="AX85" i="1" s="1"/>
  <c r="AD85" i="1"/>
  <c r="AA85" i="1"/>
  <c r="Y85" i="1"/>
  <c r="T85" i="1"/>
  <c r="U85" i="1" s="1"/>
  <c r="R85" i="1"/>
  <c r="AE84" i="1"/>
  <c r="AX84" i="1" s="1"/>
  <c r="AD84" i="1"/>
  <c r="AA84" i="1"/>
  <c r="Y84" i="1"/>
  <c r="T84" i="1"/>
  <c r="U84" i="1" s="1"/>
  <c r="R84" i="1"/>
  <c r="AE83" i="1"/>
  <c r="AX83" i="1" s="1"/>
  <c r="AD83" i="1"/>
  <c r="Y83" i="1"/>
  <c r="T83" i="1"/>
  <c r="U83" i="1" s="1"/>
  <c r="R83" i="1"/>
  <c r="AX82" i="1"/>
  <c r="AD82" i="1"/>
  <c r="AA82" i="1"/>
  <c r="Y82" i="1"/>
  <c r="U82" i="1"/>
  <c r="BJ82" i="1" s="1"/>
  <c r="R82" i="1"/>
  <c r="AE81" i="1"/>
  <c r="AX81" i="1" s="1"/>
  <c r="AD81" i="1"/>
  <c r="AA81" i="1"/>
  <c r="Y81" i="1"/>
  <c r="R81" i="1"/>
  <c r="AE80" i="1"/>
  <c r="AX80" i="1" s="1"/>
  <c r="AD80" i="1"/>
  <c r="AA80" i="1"/>
  <c r="Y80" i="1"/>
  <c r="T80" i="1"/>
  <c r="U80" i="1" s="1"/>
  <c r="R80" i="1"/>
  <c r="AE79" i="1"/>
  <c r="AX79" i="1" s="1"/>
  <c r="AD79" i="1"/>
  <c r="AA79" i="1"/>
  <c r="Y79" i="1"/>
  <c r="T79" i="1"/>
  <c r="U79" i="1" s="1"/>
  <c r="R79" i="1"/>
  <c r="AE78" i="1"/>
  <c r="AX78" i="1" s="1"/>
  <c r="AD78" i="1"/>
  <c r="AA78" i="1"/>
  <c r="Y78" i="1"/>
  <c r="T78" i="1"/>
  <c r="U78" i="1" s="1"/>
  <c r="R78" i="1"/>
  <c r="AE77" i="1"/>
  <c r="AX77" i="1" s="1"/>
  <c r="AD77" i="1"/>
  <c r="AA77" i="1"/>
  <c r="Y77" i="1"/>
  <c r="T77" i="1"/>
  <c r="U77" i="1" s="1"/>
  <c r="R77" i="1"/>
  <c r="AE76" i="1"/>
  <c r="AX76" i="1" s="1"/>
  <c r="AD76" i="1"/>
  <c r="AA76" i="1"/>
  <c r="Y76" i="1"/>
  <c r="T76" i="1"/>
  <c r="U76" i="1" s="1"/>
  <c r="R76" i="1"/>
  <c r="BA75" i="1"/>
  <c r="AE75" i="1"/>
  <c r="AD75" i="1"/>
  <c r="AA75" i="1"/>
  <c r="Y75" i="1"/>
  <c r="T75" i="1"/>
  <c r="U75" i="1" s="1"/>
  <c r="BA74" i="1"/>
  <c r="AE74" i="1"/>
  <c r="AX74" i="1" s="1"/>
  <c r="AD74" i="1"/>
  <c r="AA74" i="1"/>
  <c r="T74" i="1"/>
  <c r="U74" i="1" s="1"/>
  <c r="AE73" i="1"/>
  <c r="AX73" i="1" s="1"/>
  <c r="AD73" i="1"/>
  <c r="AA73" i="1"/>
  <c r="Y73" i="1"/>
  <c r="T73" i="1"/>
  <c r="U73" i="1" s="1"/>
  <c r="R73" i="1"/>
  <c r="AE72" i="1"/>
  <c r="BJ72" i="1" s="1"/>
  <c r="AD72" i="1"/>
  <c r="AA72" i="1"/>
  <c r="Y72" i="1"/>
  <c r="R72" i="1"/>
  <c r="AE71" i="1"/>
  <c r="AX71" i="1" s="1"/>
  <c r="AD71" i="1"/>
  <c r="AA71" i="1"/>
  <c r="Y71" i="1"/>
  <c r="V71" i="1"/>
  <c r="R71" i="1"/>
  <c r="AE70" i="1"/>
  <c r="AX70" i="1" s="1"/>
  <c r="AD70" i="1"/>
  <c r="AA70" i="1"/>
  <c r="Y70" i="1"/>
  <c r="V70" i="1"/>
  <c r="R70" i="1"/>
  <c r="AE69" i="1"/>
  <c r="AX69" i="1" s="1"/>
  <c r="AD69" i="1"/>
  <c r="AA69" i="1"/>
  <c r="Y69" i="1"/>
  <c r="V69" i="1"/>
  <c r="R69" i="1"/>
  <c r="AE68" i="1"/>
  <c r="AX68" i="1" s="1"/>
  <c r="AD68" i="1"/>
  <c r="AA68" i="1"/>
  <c r="Y68" i="1"/>
  <c r="T68" i="1"/>
  <c r="U68" i="1" s="1"/>
  <c r="R68" i="1"/>
  <c r="AE67" i="1"/>
  <c r="AX67" i="1" s="1"/>
  <c r="AD67" i="1"/>
  <c r="AA67" i="1"/>
  <c r="Y67" i="1"/>
  <c r="T67" i="1"/>
  <c r="U67" i="1" s="1"/>
  <c r="R67" i="1"/>
  <c r="AE66" i="1"/>
  <c r="AX66" i="1" s="1"/>
  <c r="AD66" i="1"/>
  <c r="AA66" i="1"/>
  <c r="Y66" i="1"/>
  <c r="R66" i="1"/>
  <c r="AE65" i="1"/>
  <c r="AX65" i="1" s="1"/>
  <c r="AD65" i="1"/>
  <c r="AA65" i="1"/>
  <c r="Y65" i="1"/>
  <c r="T65" i="1"/>
  <c r="U65" i="1" s="1"/>
  <c r="R65" i="1"/>
  <c r="AE64" i="1"/>
  <c r="AX64" i="1" s="1"/>
  <c r="AD64" i="1"/>
  <c r="AA64" i="1"/>
  <c r="Y64" i="1"/>
  <c r="T64" i="1"/>
  <c r="U64" i="1" s="1"/>
  <c r="R64" i="1"/>
  <c r="AE63" i="1"/>
  <c r="BJ63" i="1" s="1"/>
  <c r="AD63" i="1"/>
  <c r="AA63" i="1"/>
  <c r="Y63" i="1"/>
  <c r="R63" i="1"/>
  <c r="AE62" i="1"/>
  <c r="AX62" i="1" s="1"/>
  <c r="AD62" i="1"/>
  <c r="Y62" i="1"/>
  <c r="T62" i="1"/>
  <c r="U62" i="1" s="1"/>
  <c r="R62" i="1"/>
  <c r="AE61" i="1"/>
  <c r="AD61" i="1"/>
  <c r="AA61" i="1"/>
  <c r="Y61" i="1"/>
  <c r="T61" i="1"/>
  <c r="R61" i="1"/>
  <c r="AE60" i="1"/>
  <c r="AD60" i="1"/>
  <c r="AA60" i="1"/>
  <c r="Y60" i="1"/>
  <c r="R60" i="1"/>
  <c r="AE59" i="1"/>
  <c r="AX59" i="1" s="1"/>
  <c r="AD59" i="1"/>
  <c r="AA59" i="1"/>
  <c r="Y59" i="1"/>
  <c r="T59" i="1"/>
  <c r="U59" i="1" s="1"/>
  <c r="AE58" i="1"/>
  <c r="AX58" i="1" s="1"/>
  <c r="AD58" i="1"/>
  <c r="AA58" i="1"/>
  <c r="Y58" i="1"/>
  <c r="T58" i="1"/>
  <c r="U58" i="1" s="1"/>
  <c r="R58" i="1"/>
  <c r="AE57" i="1"/>
  <c r="AX57" i="1" s="1"/>
  <c r="AD57" i="1"/>
  <c r="AA57" i="1"/>
  <c r="Y57" i="1"/>
  <c r="T57" i="1"/>
  <c r="U57" i="1" s="1"/>
  <c r="AE56" i="1"/>
  <c r="AX56" i="1" s="1"/>
  <c r="AD56" i="1"/>
  <c r="AA56" i="1"/>
  <c r="Y56" i="1"/>
  <c r="T56" i="1"/>
  <c r="U56" i="1" s="1"/>
  <c r="AE55" i="1"/>
  <c r="AX55" i="1" s="1"/>
  <c r="AD55" i="1"/>
  <c r="AA55" i="1"/>
  <c r="Y55" i="1"/>
  <c r="T55" i="1"/>
  <c r="U55" i="1" s="1"/>
  <c r="R55" i="1"/>
  <c r="AE54" i="1"/>
  <c r="AX54" i="1" s="1"/>
  <c r="AD54" i="1"/>
  <c r="AA54" i="1"/>
  <c r="Y54" i="1"/>
  <c r="T54" i="1"/>
  <c r="U54" i="1" s="1"/>
  <c r="R54" i="1"/>
  <c r="AE53" i="1"/>
  <c r="AX53" i="1" s="1"/>
  <c r="AD53" i="1"/>
  <c r="AA53" i="1"/>
  <c r="Y53" i="1"/>
  <c r="T53" i="1"/>
  <c r="U53" i="1" s="1"/>
  <c r="R53" i="1"/>
  <c r="AE52" i="1"/>
  <c r="AX52" i="1" s="1"/>
  <c r="AD52" i="1"/>
  <c r="AA52" i="1"/>
  <c r="Y52" i="1"/>
  <c r="T52" i="1"/>
  <c r="U52" i="1" s="1"/>
  <c r="R52" i="1"/>
  <c r="AE51" i="1"/>
  <c r="AX51" i="1" s="1"/>
  <c r="AD51" i="1"/>
  <c r="AA51" i="1"/>
  <c r="Y51" i="1"/>
  <c r="T51" i="1"/>
  <c r="U51" i="1" s="1"/>
  <c r="R51" i="1"/>
  <c r="AE50" i="1"/>
  <c r="AX50" i="1" s="1"/>
  <c r="AD50" i="1"/>
  <c r="AA50" i="1"/>
  <c r="Y50" i="1"/>
  <c r="T50" i="1"/>
  <c r="U50" i="1" s="1"/>
  <c r="R50" i="1"/>
  <c r="AE49" i="1"/>
  <c r="BJ49" i="1" s="1"/>
  <c r="AD49" i="1"/>
  <c r="AA49" i="1"/>
  <c r="Y49" i="1"/>
  <c r="R49" i="1"/>
  <c r="AE48" i="1"/>
  <c r="BJ48" i="1" s="1"/>
  <c r="AD48" i="1"/>
  <c r="AA48" i="1"/>
  <c r="Y48" i="1"/>
  <c r="R48" i="1"/>
  <c r="AE47" i="1"/>
  <c r="AX47" i="1" s="1"/>
  <c r="AD47" i="1"/>
  <c r="AA47" i="1"/>
  <c r="Y47" i="1"/>
  <c r="T47" i="1"/>
  <c r="U47" i="1" s="1"/>
  <c r="R47" i="1"/>
  <c r="AE46" i="1"/>
  <c r="AD46" i="1"/>
  <c r="AA46" i="1"/>
  <c r="Y46" i="1"/>
  <c r="T46" i="1"/>
  <c r="U46" i="1" s="1"/>
  <c r="R46" i="1"/>
  <c r="AE45" i="1"/>
  <c r="AX45" i="1" s="1"/>
  <c r="AD45" i="1"/>
  <c r="AA45" i="1"/>
  <c r="Y45" i="1"/>
  <c r="T45" i="1"/>
  <c r="U45" i="1" s="1"/>
  <c r="R45" i="1"/>
  <c r="AE42" i="1"/>
  <c r="BJ42" i="1" s="1"/>
  <c r="AD42" i="1"/>
  <c r="AA42" i="1"/>
  <c r="Y42" i="1"/>
  <c r="T42" i="1"/>
  <c r="R42" i="1"/>
  <c r="AE41" i="1"/>
  <c r="AX41" i="1" s="1"/>
  <c r="AD41" i="1"/>
  <c r="AA41" i="1"/>
  <c r="Y41" i="1"/>
  <c r="T41" i="1"/>
  <c r="U41" i="1" s="1"/>
  <c r="R41" i="1"/>
  <c r="AE40" i="1"/>
  <c r="AX40" i="1" s="1"/>
  <c r="AD40" i="1"/>
  <c r="AA40" i="1"/>
  <c r="Y40" i="1"/>
  <c r="T40" i="1"/>
  <c r="U40" i="1" s="1"/>
  <c r="R40" i="1"/>
  <c r="AE39" i="1"/>
  <c r="AX39" i="1" s="1"/>
  <c r="AD39" i="1"/>
  <c r="AA39" i="1"/>
  <c r="Y39" i="1"/>
  <c r="T39" i="1"/>
  <c r="U39" i="1" s="1"/>
  <c r="R39" i="1"/>
  <c r="AE38" i="1"/>
  <c r="BJ38" i="1" s="1"/>
  <c r="AD38" i="1"/>
  <c r="AA38" i="1"/>
  <c r="Y38" i="1"/>
  <c r="R38" i="1"/>
  <c r="AE37" i="1"/>
  <c r="AX37" i="1" s="1"/>
  <c r="AD37" i="1"/>
  <c r="AA37" i="1"/>
  <c r="Y37" i="1"/>
  <c r="T37" i="1"/>
  <c r="U37" i="1" s="1"/>
  <c r="R37" i="1"/>
  <c r="BA36" i="1"/>
  <c r="AE36" i="1"/>
  <c r="AX36" i="1" s="1"/>
  <c r="AD36" i="1"/>
  <c r="AA36" i="1"/>
  <c r="Y36" i="1"/>
  <c r="T36" i="1"/>
  <c r="U36" i="1" s="1"/>
  <c r="AE35" i="1"/>
  <c r="AD35" i="1"/>
  <c r="AA35" i="1"/>
  <c r="Y35" i="1"/>
  <c r="T35" i="1"/>
  <c r="U35" i="1" s="1"/>
  <c r="R35" i="1"/>
  <c r="AE34" i="1"/>
  <c r="AD34" i="1"/>
  <c r="AA34" i="1"/>
  <c r="Y34" i="1"/>
  <c r="T34" i="1"/>
  <c r="U34" i="1" s="1"/>
  <c r="R34" i="1"/>
  <c r="AE33" i="1"/>
  <c r="AX33" i="1" s="1"/>
  <c r="AD33" i="1"/>
  <c r="AA33" i="1"/>
  <c r="Y33" i="1"/>
  <c r="T33" i="1"/>
  <c r="U33" i="1" s="1"/>
  <c r="R33" i="1"/>
  <c r="AE32" i="1"/>
  <c r="AX32" i="1" s="1"/>
  <c r="AD32" i="1"/>
  <c r="AA32" i="1"/>
  <c r="Y32" i="1"/>
  <c r="T32" i="1"/>
  <c r="U32" i="1" s="1"/>
  <c r="R32" i="1"/>
  <c r="AE31" i="1"/>
  <c r="AX31" i="1" s="1"/>
  <c r="AD31" i="1"/>
  <c r="AA31" i="1"/>
  <c r="Y31" i="1"/>
  <c r="T31" i="1"/>
  <c r="U31" i="1" s="1"/>
  <c r="R31" i="1"/>
  <c r="AE30" i="1"/>
  <c r="AX30" i="1" s="1"/>
  <c r="AD30" i="1"/>
  <c r="AA30" i="1"/>
  <c r="Y30" i="1"/>
  <c r="T30" i="1"/>
  <c r="U30" i="1" s="1"/>
  <c r="AE29" i="1"/>
  <c r="AX29" i="1" s="1"/>
  <c r="AD29" i="1"/>
  <c r="AA29" i="1"/>
  <c r="Y29" i="1"/>
  <c r="T29" i="1"/>
  <c r="U29" i="1" s="1"/>
  <c r="R29" i="1"/>
  <c r="AE28" i="1"/>
  <c r="AD28" i="1"/>
  <c r="AA28" i="1"/>
  <c r="Y28" i="1"/>
  <c r="R28" i="1"/>
  <c r="AE27" i="1"/>
  <c r="AX27" i="1" s="1"/>
  <c r="AD27" i="1"/>
  <c r="AA27" i="1"/>
  <c r="Y27" i="1"/>
  <c r="T27" i="1"/>
  <c r="U27" i="1" s="1"/>
  <c r="R27" i="1"/>
  <c r="AE26" i="1"/>
  <c r="AD26" i="1"/>
  <c r="AA26" i="1"/>
  <c r="Y26" i="1"/>
  <c r="T26" i="1"/>
  <c r="U26" i="1" s="1"/>
  <c r="R26" i="1"/>
  <c r="AE25" i="1"/>
  <c r="AX25" i="1" s="1"/>
  <c r="AD25" i="1"/>
  <c r="AA25" i="1"/>
  <c r="Y25" i="1"/>
  <c r="T25" i="1"/>
  <c r="U25" i="1" s="1"/>
  <c r="R25" i="1"/>
  <c r="AE24" i="1"/>
  <c r="AX24" i="1" s="1"/>
  <c r="AD24" i="1"/>
  <c r="AA24" i="1"/>
  <c r="Y24" i="1"/>
  <c r="T24" i="1"/>
  <c r="U24" i="1" s="1"/>
  <c r="R24" i="1"/>
  <c r="AE21" i="1"/>
  <c r="AX21" i="1" s="1"/>
  <c r="AD21" i="1"/>
  <c r="AA21" i="1"/>
  <c r="Y21" i="1"/>
  <c r="T21" i="1"/>
  <c r="U21" i="1" s="1"/>
  <c r="R21" i="1"/>
  <c r="AE20" i="1"/>
  <c r="BJ20" i="1" s="1"/>
  <c r="AD20" i="1"/>
  <c r="AA20" i="1"/>
  <c r="Y20" i="1"/>
  <c r="R20" i="1"/>
  <c r="AE19" i="1"/>
  <c r="AX19" i="1" s="1"/>
  <c r="AD19" i="1"/>
  <c r="AA19" i="1"/>
  <c r="Y19" i="1"/>
  <c r="T19" i="1"/>
  <c r="U19" i="1" s="1"/>
  <c r="R19" i="1"/>
  <c r="AE18" i="1"/>
  <c r="BJ18" i="1" s="1"/>
  <c r="AD18" i="1"/>
  <c r="AA18" i="1"/>
  <c r="Y18" i="1"/>
  <c r="R18" i="1"/>
  <c r="AE17" i="1"/>
  <c r="AX17" i="1" s="1"/>
  <c r="AD17" i="1"/>
  <c r="AA17" i="1"/>
  <c r="Y17" i="1"/>
  <c r="T17" i="1"/>
  <c r="U17" i="1" s="1"/>
  <c r="R17" i="1"/>
  <c r="AE16" i="1"/>
  <c r="AX16" i="1" s="1"/>
  <c r="AD16" i="1"/>
  <c r="AA16" i="1"/>
  <c r="Y16" i="1"/>
  <c r="T16" i="1"/>
  <c r="U16" i="1" s="1"/>
  <c r="R16" i="1"/>
  <c r="AE15" i="1"/>
  <c r="AX15" i="1" s="1"/>
  <c r="AD15" i="1"/>
  <c r="AA15" i="1"/>
  <c r="Y15" i="1"/>
  <c r="T15" i="1"/>
  <c r="U15" i="1" s="1"/>
  <c r="R15" i="1"/>
  <c r="AE14" i="1"/>
  <c r="BJ14" i="1" s="1"/>
  <c r="AD14" i="1"/>
  <c r="AA14" i="1"/>
  <c r="Y14" i="1"/>
  <c r="R14" i="1"/>
  <c r="AE13" i="1"/>
  <c r="AX13" i="1" s="1"/>
  <c r="AA13" i="1"/>
  <c r="Y13" i="1"/>
  <c r="T13" i="1"/>
  <c r="U13" i="1" s="1"/>
  <c r="R13" i="1"/>
  <c r="AE12" i="1"/>
  <c r="AD12" i="1"/>
  <c r="AA12" i="1"/>
  <c r="Y12" i="1"/>
  <c r="T12" i="1"/>
  <c r="U12" i="1" s="1"/>
  <c r="R12" i="1"/>
  <c r="AE11" i="1"/>
  <c r="AX11" i="1" s="1"/>
  <c r="AD11" i="1"/>
  <c r="AA11" i="1"/>
  <c r="Y11" i="1"/>
  <c r="T11" i="1"/>
  <c r="U11" i="1" s="1"/>
  <c r="AE10" i="1"/>
  <c r="AX10" i="1" s="1"/>
  <c r="AD10" i="1"/>
  <c r="AA10" i="1"/>
  <c r="Y10" i="1"/>
  <c r="T10" i="1"/>
  <c r="U10" i="1" s="1"/>
  <c r="AE9" i="1"/>
  <c r="AX9" i="1" s="1"/>
  <c r="AD9" i="1"/>
  <c r="AA9" i="1"/>
  <c r="Y9" i="1"/>
  <c r="T9" i="1"/>
  <c r="U9" i="1" s="1"/>
  <c r="AE8" i="1"/>
  <c r="AX8" i="1" s="1"/>
  <c r="AD8" i="1"/>
  <c r="AA8" i="1"/>
  <c r="Y8" i="1"/>
  <c r="T8" i="1"/>
  <c r="U8" i="1" s="1"/>
  <c r="R8" i="1"/>
  <c r="BA7" i="1"/>
  <c r="AE7" i="1"/>
  <c r="AX7" i="1" s="1"/>
  <c r="AD7" i="1"/>
  <c r="AA7" i="1"/>
  <c r="Y7" i="1"/>
  <c r="T7" i="1"/>
  <c r="U7" i="1" s="1"/>
  <c r="AE6" i="1"/>
  <c r="AX6" i="1" s="1"/>
  <c r="AD6" i="1"/>
  <c r="AA6" i="1"/>
  <c r="Y6" i="1"/>
  <c r="T6" i="1"/>
  <c r="U6" i="1" s="1"/>
  <c r="AE5" i="1"/>
  <c r="AX5" i="1" s="1"/>
  <c r="AD5" i="1"/>
  <c r="AA5" i="1"/>
  <c r="Y5" i="1"/>
  <c r="T5" i="1"/>
  <c r="U5" i="1" s="1"/>
  <c r="AE4" i="1"/>
  <c r="AX4" i="1" s="1"/>
  <c r="AD4" i="1"/>
  <c r="AA4" i="1"/>
  <c r="Y4" i="1"/>
  <c r="R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5" i="1" s="1"/>
  <c r="A46" i="1" s="1"/>
  <c r="A47" i="1" s="1"/>
  <c r="A48" i="1" s="1"/>
  <c r="AU43" i="1" l="1"/>
  <c r="BJ43" i="1" s="1"/>
  <c r="BJ33" i="1"/>
  <c r="AU44" i="1"/>
  <c r="BJ54" i="1"/>
  <c r="BJ91" i="1"/>
  <c r="BJ155" i="1"/>
  <c r="BJ25" i="1"/>
  <c r="BJ30" i="1"/>
  <c r="BJ34" i="1"/>
  <c r="BJ176" i="1"/>
  <c r="BJ120" i="1"/>
  <c r="BJ242" i="1"/>
  <c r="BJ7" i="1"/>
  <c r="BJ223" i="1"/>
  <c r="BJ70" i="1"/>
  <c r="BJ346" i="1"/>
  <c r="BJ232" i="1"/>
  <c r="BJ295" i="1"/>
  <c r="BJ237" i="1"/>
  <c r="BJ90" i="1"/>
  <c r="BJ263" i="1"/>
  <c r="BJ214" i="1"/>
  <c r="BJ131" i="1"/>
  <c r="BJ99" i="1"/>
  <c r="BJ71" i="1"/>
  <c r="BJ66" i="1"/>
  <c r="BJ146" i="1"/>
  <c r="BJ213" i="1"/>
  <c r="BJ270" i="1"/>
  <c r="BJ271" i="1"/>
  <c r="BJ100" i="1"/>
  <c r="BJ171" i="1"/>
  <c r="BJ313" i="1"/>
  <c r="BJ234" i="1"/>
  <c r="BJ299" i="1"/>
  <c r="BJ306" i="1"/>
  <c r="BJ342" i="1"/>
  <c r="BJ348" i="1"/>
  <c r="AX167" i="1"/>
  <c r="AX202" i="1"/>
  <c r="BJ185" i="1"/>
  <c r="BJ273" i="1"/>
  <c r="BJ338" i="1"/>
  <c r="BJ159" i="1"/>
  <c r="BJ255" i="1"/>
  <c r="BJ31" i="1"/>
  <c r="BJ276" i="1"/>
  <c r="BJ195" i="1"/>
  <c r="BJ200" i="1"/>
  <c r="BJ16" i="1"/>
  <c r="BJ59" i="1"/>
  <c r="BJ300" i="1"/>
  <c r="BJ321" i="1"/>
  <c r="AX34" i="1"/>
  <c r="BJ175" i="1"/>
  <c r="BJ259" i="1"/>
  <c r="BJ244" i="1"/>
  <c r="BJ219" i="1"/>
  <c r="AX239" i="1"/>
  <c r="BJ239" i="1"/>
  <c r="BJ331" i="1"/>
  <c r="BJ355" i="1"/>
  <c r="BJ260" i="1"/>
  <c r="BJ309" i="1"/>
  <c r="BJ359" i="1"/>
  <c r="BJ50" i="1"/>
  <c r="BJ221" i="1"/>
  <c r="BJ130" i="1"/>
  <c r="AX291" i="1"/>
  <c r="BJ296" i="1"/>
  <c r="BJ26" i="1"/>
  <c r="BJ217" i="1"/>
  <c r="BJ283" i="1"/>
  <c r="AX314" i="1"/>
  <c r="BJ314" i="1"/>
  <c r="BJ233" i="1"/>
  <c r="AX169" i="1"/>
  <c r="BJ169" i="1"/>
  <c r="AX38" i="1"/>
  <c r="AX146" i="1"/>
  <c r="BJ151" i="1"/>
  <c r="AX185" i="1"/>
  <c r="BJ209" i="1"/>
  <c r="BJ149" i="1"/>
  <c r="BJ247" i="1"/>
  <c r="BJ57" i="1"/>
  <c r="BJ333" i="1"/>
  <c r="BJ61" i="1"/>
  <c r="AX61" i="1"/>
  <c r="BJ320" i="1"/>
  <c r="BJ328" i="1"/>
  <c r="BJ177" i="1"/>
  <c r="BJ191" i="1"/>
  <c r="BJ243" i="1"/>
  <c r="BJ298" i="1"/>
  <c r="BJ353" i="1"/>
  <c r="BJ62" i="1"/>
  <c r="BJ28" i="1"/>
  <c r="AX28" i="1"/>
  <c r="BJ53" i="1"/>
  <c r="BJ267" i="1"/>
  <c r="BJ339" i="1"/>
  <c r="BJ56" i="1"/>
  <c r="BJ95" i="1"/>
  <c r="BJ105" i="1"/>
  <c r="BJ150" i="1"/>
  <c r="BJ277" i="1"/>
  <c r="BJ86" i="1"/>
  <c r="BJ128" i="1"/>
  <c r="BJ187" i="1"/>
  <c r="BJ190" i="1"/>
  <c r="BJ122" i="1"/>
  <c r="AX122" i="1"/>
  <c r="BJ36" i="1"/>
  <c r="BJ284" i="1"/>
  <c r="AX284" i="1"/>
  <c r="BJ343" i="1"/>
  <c r="BJ32" i="1"/>
  <c r="AX118" i="1"/>
  <c r="BJ87" i="1"/>
  <c r="AX208" i="1"/>
  <c r="BJ285" i="1"/>
  <c r="BJ360" i="1"/>
  <c r="BJ97" i="1"/>
  <c r="AX213" i="1"/>
  <c r="BJ76" i="1"/>
  <c r="BJ236" i="1"/>
  <c r="BJ115" i="1"/>
  <c r="AX265" i="1"/>
  <c r="BJ336" i="1"/>
  <c r="BJ46" i="1"/>
  <c r="BJ75" i="1"/>
  <c r="BJ256" i="1"/>
  <c r="AX75" i="1"/>
  <c r="BJ235" i="1"/>
  <c r="BJ93" i="1"/>
  <c r="AX93" i="1"/>
  <c r="BJ145" i="1"/>
  <c r="BJ323" i="1"/>
  <c r="BJ52" i="1"/>
  <c r="BJ9" i="1"/>
  <c r="AX72" i="1"/>
  <c r="BJ274" i="1"/>
  <c r="BJ303" i="1"/>
  <c r="BJ206" i="1"/>
  <c r="BJ241" i="1"/>
  <c r="BJ12" i="1"/>
  <c r="BJ194" i="1"/>
  <c r="BJ172" i="1"/>
  <c r="BJ205" i="1"/>
  <c r="BJ349" i="1"/>
  <c r="BJ45" i="1"/>
  <c r="BJ134" i="1"/>
  <c r="AX192" i="1"/>
  <c r="BJ249" i="1"/>
  <c r="BJ143" i="1"/>
  <c r="BJ250" i="1"/>
  <c r="BJ294" i="1"/>
  <c r="BJ322" i="1"/>
  <c r="BJ330" i="1"/>
  <c r="BJ35" i="1"/>
  <c r="BJ81" i="1"/>
  <c r="BJ119" i="1"/>
  <c r="BJ139" i="1"/>
  <c r="BJ140" i="1"/>
  <c r="BJ210" i="1"/>
  <c r="BJ186" i="1"/>
  <c r="BJ204" i="1"/>
  <c r="BJ268" i="1"/>
  <c r="BJ116" i="1"/>
  <c r="BJ83" i="1"/>
  <c r="BJ183" i="1"/>
  <c r="BJ257" i="1"/>
  <c r="BJ21" i="1"/>
  <c r="BJ289" i="1"/>
  <c r="BJ201" i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49" i="1"/>
  <c r="BJ292" i="1"/>
  <c r="BJ278" i="1"/>
  <c r="BJ73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13" i="1"/>
  <c r="A208" i="1"/>
  <c r="A209" i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BJ165" i="1"/>
  <c r="BJ246" i="1"/>
  <c r="BJ141" i="1"/>
  <c r="BJ181" i="1"/>
  <c r="BJ304" i="1"/>
  <c r="BJ335" i="1"/>
  <c r="AX323" i="1"/>
  <c r="BJ227" i="1"/>
  <c r="BJ162" i="1"/>
  <c r="BJ8" i="1"/>
  <c r="BJ127" i="1"/>
  <c r="BJ158" i="1"/>
  <c r="BJ154" i="1"/>
  <c r="AX20" i="1"/>
  <c r="V363" i="1"/>
  <c r="BJ69" i="1"/>
  <c r="BJ112" i="1"/>
  <c r="BJ317" i="1"/>
  <c r="BJ123" i="1"/>
  <c r="AX256" i="1"/>
  <c r="BJ352" i="1"/>
  <c r="AX26" i="1"/>
  <c r="BJ228" i="1"/>
  <c r="BJ264" i="1"/>
  <c r="BJ325" i="1"/>
  <c r="BJ329" i="1"/>
  <c r="BJ17" i="1"/>
  <c r="BJ124" i="1"/>
  <c r="BJ203" i="1"/>
  <c r="BJ220" i="1"/>
  <c r="AX360" i="1"/>
  <c r="BJ27" i="1"/>
  <c r="BJ287" i="1"/>
  <c r="BJ356" i="1"/>
  <c r="BJ310" i="1"/>
  <c r="BJ85" i="1"/>
  <c r="BJ147" i="1"/>
  <c r="BJ253" i="1"/>
  <c r="BJ261" i="1"/>
  <c r="BJ357" i="1"/>
  <c r="BJ39" i="1"/>
  <c r="BJ326" i="1"/>
  <c r="BJ307" i="1"/>
  <c r="BJ354" i="1"/>
  <c r="BJ138" i="1"/>
  <c r="BJ316" i="1"/>
  <c r="BJ197" i="1"/>
  <c r="BJ240" i="1"/>
  <c r="BJ293" i="1"/>
  <c r="BJ79" i="1"/>
  <c r="BJ126" i="1"/>
  <c r="BJ297" i="1"/>
  <c r="BJ174" i="1"/>
  <c r="BJ198" i="1"/>
  <c r="BJ212" i="1"/>
  <c r="BJ290" i="1"/>
  <c r="BJ58" i="1"/>
  <c r="BJ74" i="1"/>
  <c r="BJ109" i="1"/>
  <c r="BJ207" i="1"/>
  <c r="BJ224" i="1"/>
  <c r="AX224" i="1"/>
  <c r="AD363" i="1"/>
  <c r="AX249" i="1"/>
  <c r="BJ160" i="1"/>
  <c r="BJ47" i="1"/>
  <c r="BJ55" i="1"/>
  <c r="AX172" i="1"/>
  <c r="BJ319" i="1"/>
  <c r="BJ334" i="1"/>
  <c r="BJ6" i="1"/>
  <c r="BJ51" i="1"/>
  <c r="BJ94" i="1"/>
  <c r="BJ110" i="1"/>
  <c r="BJ132" i="1"/>
  <c r="BJ152" i="1"/>
  <c r="BJ10" i="1"/>
  <c r="BJ15" i="1"/>
  <c r="BJ40" i="1"/>
  <c r="AX129" i="1"/>
  <c r="BJ129" i="1"/>
  <c r="BJ327" i="1"/>
  <c r="BJ324" i="1"/>
  <c r="AX119" i="1"/>
  <c r="BJ113" i="1"/>
  <c r="AX337" i="1"/>
  <c r="BJ337" i="1"/>
  <c r="BJ280" i="1"/>
  <c r="BJ78" i="1"/>
  <c r="BJ362" i="1"/>
  <c r="BJ254" i="1"/>
  <c r="AX14" i="1"/>
  <c r="BJ148" i="1"/>
  <c r="BJ11" i="1"/>
  <c r="BJ173" i="1"/>
  <c r="BJ103" i="1"/>
  <c r="BJ218" i="1"/>
  <c r="AA363" i="1"/>
  <c r="BJ157" i="1"/>
  <c r="BJ179" i="1"/>
  <c r="BJ279" i="1"/>
  <c r="BJ361" i="1"/>
  <c r="BJ80" i="1"/>
  <c r="BJ166" i="1"/>
  <c r="BJ170" i="1"/>
  <c r="AX48" i="1"/>
  <c r="BJ137" i="1"/>
  <c r="BJ144" i="1"/>
  <c r="BJ272" i="1"/>
  <c r="BJ84" i="1"/>
  <c r="AX190" i="1"/>
  <c r="BJ211" i="1"/>
  <c r="BJ258" i="1"/>
  <c r="BJ269" i="1"/>
  <c r="BJ77" i="1"/>
  <c r="BJ262" i="1"/>
  <c r="BJ286" i="1"/>
  <c r="AX286" i="1"/>
  <c r="BJ358" i="1"/>
  <c r="BJ5" i="1"/>
  <c r="BJ41" i="1"/>
  <c r="BJ92" i="1"/>
  <c r="BJ163" i="1"/>
  <c r="BJ315" i="1"/>
  <c r="AX343" i="1"/>
  <c r="BJ121" i="1"/>
  <c r="AX121" i="1"/>
  <c r="BJ156" i="1"/>
  <c r="AX318" i="1"/>
  <c r="BJ318" i="1"/>
  <c r="BJ347" i="1"/>
  <c r="AX134" i="1"/>
  <c r="AX199" i="1"/>
  <c r="AX205" i="1"/>
  <c r="BJ225" i="1"/>
  <c r="BJ248" i="1"/>
  <c r="AX63" i="1"/>
  <c r="BJ301" i="1"/>
  <c r="BJ230" i="1"/>
  <c r="AX294" i="1"/>
  <c r="AX35" i="1"/>
  <c r="BJ64" i="1"/>
  <c r="BJ107" i="1"/>
  <c r="BJ111" i="1"/>
  <c r="BJ125" i="1"/>
  <c r="BJ135" i="1"/>
  <c r="BJ238" i="1"/>
  <c r="BJ252" i="1"/>
  <c r="BJ312" i="1"/>
  <c r="AX336" i="1"/>
  <c r="U363" i="1"/>
  <c r="BJ281" i="1"/>
  <c r="BJ305" i="1"/>
  <c r="BJ308" i="1"/>
  <c r="BJ89" i="1"/>
  <c r="AX12" i="1"/>
  <c r="BJ104" i="1"/>
  <c r="BJ168" i="1"/>
  <c r="BJ29" i="1"/>
  <c r="BJ164" i="1"/>
  <c r="BJ68" i="1"/>
  <c r="BJ189" i="1"/>
  <c r="BJ196" i="1"/>
  <c r="BJ231" i="1"/>
  <c r="BJ344" i="1"/>
  <c r="BJ88" i="1"/>
  <c r="BJ245" i="1"/>
  <c r="AX259" i="1"/>
  <c r="BJ302" i="1"/>
  <c r="BJ341" i="1"/>
  <c r="BJ178" i="1"/>
  <c r="AX18" i="1"/>
  <c r="BJ65" i="1"/>
  <c r="BJ24" i="1"/>
  <c r="BJ114" i="1"/>
  <c r="AX117" i="1"/>
  <c r="BJ188" i="1"/>
  <c r="BJ282" i="1"/>
  <c r="BJ350" i="1"/>
  <c r="BJ60" i="1"/>
  <c r="AX60" i="1"/>
  <c r="BJ215" i="1"/>
  <c r="BJ222" i="1"/>
  <c r="BJ345" i="1"/>
  <c r="AX42" i="1"/>
  <c r="AX49" i="1"/>
  <c r="AX139" i="1"/>
  <c r="BJ332" i="1"/>
  <c r="AX46" i="1"/>
  <c r="AX266" i="1"/>
  <c r="BJ136" i="1"/>
  <c r="AX142" i="1"/>
  <c r="BJ37" i="1"/>
  <c r="BJ13" i="1"/>
  <c r="BJ19" i="1"/>
  <c r="BJ161" i="1"/>
  <c r="BJ182" i="1"/>
  <c r="BJ216" i="1"/>
  <c r="BJ251" i="1"/>
  <c r="BJ340" i="1"/>
  <c r="BJ67" i="1"/>
  <c r="BJ101" i="1"/>
  <c r="BJ288" i="1"/>
  <c r="AE363" i="1"/>
  <c r="BJ184" i="1"/>
  <c r="BJ4" i="1"/>
  <c r="AY43" i="1" l="1"/>
  <c r="AY44" i="1"/>
  <c r="BJ44" i="1"/>
  <c r="A230" i="1"/>
  <c r="A231" i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3" i="1" l="1"/>
  <c r="A341" i="1"/>
  <c r="A342" i="1" s="1"/>
</calcChain>
</file>

<file path=xl/sharedStrings.xml><?xml version="1.0" encoding="utf-8"?>
<sst xmlns="http://schemas.openxmlformats.org/spreadsheetml/2006/main" count="3353" uniqueCount="777">
  <si>
    <t xml:space="preserve"> </t>
  </si>
  <si>
    <t>المساحات بحسب الواقع والخرائط</t>
  </si>
  <si>
    <t>متأخرات عام 2023م</t>
  </si>
  <si>
    <t>التحصيل</t>
  </si>
  <si>
    <t>تحصيل عام 2024م</t>
  </si>
  <si>
    <t xml:space="preserve"> مراحل التصعيد للمتعثرين عن السداد																	</t>
  </si>
  <si>
    <t>الرغبة في تجديد العقد</t>
  </si>
  <si>
    <t>م</t>
  </si>
  <si>
    <t>اسم المؤسسة</t>
  </si>
  <si>
    <t>رقم العقد</t>
  </si>
  <si>
    <t>نوع العقد</t>
  </si>
  <si>
    <t>حالة استلام خطاب الإنذار بتوثيق العقد لغير الموثقين</t>
  </si>
  <si>
    <t>تاريخ تسليم الخطاب</t>
  </si>
  <si>
    <t>تاريخ إنتهاء العقد</t>
  </si>
  <si>
    <t>عدد الوحدات</t>
  </si>
  <si>
    <t xml:space="preserve">رقم الوحدة </t>
  </si>
  <si>
    <t>تاريخ الميلاد</t>
  </si>
  <si>
    <t>رقم السجل</t>
  </si>
  <si>
    <t>رقم الجوال</t>
  </si>
  <si>
    <t>رقم الهوية</t>
  </si>
  <si>
    <t>الموقع</t>
  </si>
  <si>
    <t>نوع الوحدة</t>
  </si>
  <si>
    <t>الطول</t>
  </si>
  <si>
    <t>العرض</t>
  </si>
  <si>
    <t>المساحة الفعلية</t>
  </si>
  <si>
    <t>الإيجار القديم</t>
  </si>
  <si>
    <t>إيجار الوحدات المعتدة (من عدا مكاتب المركز)</t>
  </si>
  <si>
    <t>إيجار مكاتب المركز المعتمدة</t>
  </si>
  <si>
    <t>المتاخرات مع الضريبة</t>
  </si>
  <si>
    <t>المتاخرات غير الضريبة</t>
  </si>
  <si>
    <t>متاخرات 2023 مع الضريبه</t>
  </si>
  <si>
    <t>متاخرات 2023 بدون ضريبة</t>
  </si>
  <si>
    <t>عن 2023 وما قبل</t>
  </si>
  <si>
    <t>سداد دفعات 2024م</t>
  </si>
  <si>
    <t>متأخرات 2024م</t>
  </si>
  <si>
    <t>الرصيد النهائي</t>
  </si>
  <si>
    <t>تسليم الخطاب الأول</t>
  </si>
  <si>
    <t>تاريخ إرسال الخطاب الأول</t>
  </si>
  <si>
    <t>المطالبة المالية</t>
  </si>
  <si>
    <t>هل تم استلام الخطاب؟</t>
  </si>
  <si>
    <t>هل تم السداد بعد الخطاب؟</t>
  </si>
  <si>
    <t>الخطاب المستلم</t>
  </si>
  <si>
    <t>تسليم الخطاب الثاني</t>
  </si>
  <si>
    <t>تاريخ إرسال الخطاب الثاني</t>
  </si>
  <si>
    <t>هل تم التجاوب مع الخطاب الثاني؟</t>
  </si>
  <si>
    <t>تسليم الخطاب الثالث</t>
  </si>
  <si>
    <t>تاريخ إرسال الخطاب الثالث</t>
  </si>
  <si>
    <t>هل تم التجاوب مع الخطاب الثالث؟</t>
  </si>
  <si>
    <t>الإجراء القانوني الحالي</t>
  </si>
  <si>
    <t>حالة السداد</t>
  </si>
  <si>
    <t>التصنيف</t>
  </si>
  <si>
    <t>الإجــــراء</t>
  </si>
  <si>
    <t>حالة العقد</t>
  </si>
  <si>
    <t>تجديد العقد</t>
  </si>
  <si>
    <t>سبب عدم التجديد</t>
  </si>
  <si>
    <t>تحصيل متأخرات ما قبل 2025م</t>
  </si>
  <si>
    <t>تحصيل إيجار 2025م (Q1)</t>
  </si>
  <si>
    <t>تحصيل إيجار 2025م (Q2)</t>
  </si>
  <si>
    <t>تحصيل إيجار 2025م (Q3)</t>
  </si>
  <si>
    <t>تحصيل إيجار 2025م (Q4)</t>
  </si>
  <si>
    <t>إسم المحصل</t>
  </si>
  <si>
    <t>الرصيد الجديد (بعد السداد)</t>
  </si>
  <si>
    <t>ملاحظات المحصل</t>
  </si>
  <si>
    <t>شاغر</t>
  </si>
  <si>
    <t>مركز بامحرز</t>
  </si>
  <si>
    <t>مكتب البرج الشمالي</t>
  </si>
  <si>
    <t>داخلي</t>
  </si>
  <si>
    <t>28/09/2025</t>
  </si>
  <si>
    <t>نعم</t>
  </si>
  <si>
    <t>منتظم – عقد إلكتروني نشط</t>
  </si>
  <si>
    <t>تم رفع العقد</t>
  </si>
  <si>
    <t>2025/09/10 تم الرفع</t>
  </si>
  <si>
    <t>سعيد</t>
  </si>
  <si>
    <t>السوق الجنوبية</t>
  </si>
  <si>
    <t>مكتب</t>
  </si>
  <si>
    <t>مرفوض</t>
  </si>
  <si>
    <t>محمد محسن</t>
  </si>
  <si>
    <t>غير منتظم – عقد إلكتروني نشط</t>
  </si>
  <si>
    <t>هوية</t>
  </si>
  <si>
    <t>دفعه حتى 2025/03/31م</t>
  </si>
  <si>
    <t>واجهة البحر</t>
  </si>
  <si>
    <t>سجل (رقم خطأ)</t>
  </si>
  <si>
    <t xml:space="preserve">يتم ارسال خطاب بتسليم السجل المجدد في اسرع وقت </t>
  </si>
  <si>
    <t>منتظم – عقد يدوي</t>
  </si>
  <si>
    <t>مكتب البرج الجنوبي</t>
  </si>
  <si>
    <t>متعثر – عقد يدوي</t>
  </si>
  <si>
    <t>وكالة</t>
  </si>
  <si>
    <t>سند لأمر خلال شهر - إثبات حالة تعاقدية</t>
  </si>
  <si>
    <t>49A</t>
  </si>
  <si>
    <t>52A</t>
  </si>
  <si>
    <t>54 A</t>
  </si>
  <si>
    <t>ملحق 56</t>
  </si>
  <si>
    <t>ملحق في سوق الجنوبية</t>
  </si>
  <si>
    <t>شركة أبناء احمد سعيد باقازي</t>
  </si>
  <si>
    <t>موثق بواقعه ايجارية</t>
  </si>
  <si>
    <t>385/386/410</t>
  </si>
  <si>
    <t>1377/03/01</t>
  </si>
  <si>
    <t>معرض</t>
  </si>
  <si>
    <t>تسجيل حالة تعاقدية (الوسيطالعقاري) لإخلاء العقار ورفع دعوى</t>
  </si>
  <si>
    <t xml:space="preserve">شركة أساس الانارة </t>
  </si>
  <si>
    <t>عقد إلكتروني سابق ولم يتم التجديد في 2025</t>
  </si>
  <si>
    <t>1410/11/08</t>
  </si>
  <si>
    <t>سيئ – عقد يدوي</t>
  </si>
  <si>
    <t>سجل منتهي</t>
  </si>
  <si>
    <t>يحتاج لتأكيد السنوي للسجل</t>
  </si>
  <si>
    <t>شركة أساليب التواصل للمراقبة الأمنية</t>
  </si>
  <si>
    <t>عقد إلكتروني نشط</t>
  </si>
  <si>
    <t>تم التوثيق من الطرفين</t>
  </si>
  <si>
    <t>شركة إحساس الربيع للتجارة</t>
  </si>
  <si>
    <t>جميع الوحدات 150-100 متر مربع داخلي (المتر = 500ريال) واجهة بحرية (المتر = 525ريال)</t>
  </si>
  <si>
    <t>351/352</t>
  </si>
  <si>
    <t>شركة ابداء العربية للتجارة</t>
  </si>
  <si>
    <t>عبدالمجيد</t>
  </si>
  <si>
    <t>تم دفع مبلغ حتى 2025/03/31م</t>
  </si>
  <si>
    <t>شركة احد للتجارة</t>
  </si>
  <si>
    <t>416/417/440/441</t>
  </si>
  <si>
    <t>1369/07/01</t>
  </si>
  <si>
    <t>شركة اصيل للادوات الكهربائية</t>
  </si>
  <si>
    <t>419/438</t>
  </si>
  <si>
    <t>1388/01/17</t>
  </si>
  <si>
    <t xml:space="preserve">شركة اكسبت التجارية </t>
  </si>
  <si>
    <t>357/360</t>
  </si>
  <si>
    <t>1400/10/02</t>
  </si>
  <si>
    <t>شركة الأضواء العربية للتجارة</t>
  </si>
  <si>
    <t>تم دفع مبلغ حتى 2025/04/31م</t>
  </si>
  <si>
    <t>شركة الاضواء العربية للتجارة</t>
  </si>
  <si>
    <t>447/476</t>
  </si>
  <si>
    <t xml:space="preserve">شركة الانارة الحرة للتجارة </t>
  </si>
  <si>
    <t>141/140</t>
  </si>
  <si>
    <t>شركة الانارة العربية المحدودة</t>
  </si>
  <si>
    <t>389/406</t>
  </si>
  <si>
    <t>1380/07/01</t>
  </si>
  <si>
    <t>شركة البيرق الدوليه للتجارة</t>
  </si>
  <si>
    <t>شركة الحديثة الذهبية</t>
  </si>
  <si>
    <t>يدوي</t>
  </si>
  <si>
    <t>17/07/2025</t>
  </si>
  <si>
    <t>لا</t>
  </si>
  <si>
    <t>خطاب الخديثة الذهبية</t>
  </si>
  <si>
    <t>8//25</t>
  </si>
  <si>
    <t>18/11/1999</t>
  </si>
  <si>
    <t>غير منتظم – عقد يدوي</t>
  </si>
  <si>
    <t>شركة الحديثة الذهبية للتجارة</t>
  </si>
  <si>
    <t>شركة الخط الحديث</t>
  </si>
  <si>
    <t>1406/05/02</t>
  </si>
  <si>
    <t>شركة الخط الحديث التجارية</t>
  </si>
  <si>
    <t>1393/01/01</t>
  </si>
  <si>
    <t>خطاب الخط الحديث</t>
  </si>
  <si>
    <t>1392/04/01</t>
  </si>
  <si>
    <t>شركة الخط الكهرباء التجارية</t>
  </si>
  <si>
    <t>عقد الكتروني نشط</t>
  </si>
  <si>
    <t>339/377</t>
  </si>
  <si>
    <t>لا يوجد</t>
  </si>
  <si>
    <t>13/10/2025</t>
  </si>
  <si>
    <t xml:space="preserve">شركة الخمسة قارات </t>
  </si>
  <si>
    <t>دفعه حتى 2025/06/31م</t>
  </si>
  <si>
    <t>شركة السحيلي للتجارة والانماء</t>
  </si>
  <si>
    <t>40/41</t>
  </si>
  <si>
    <t xml:space="preserve">شركة الشبكة البورنزية </t>
  </si>
  <si>
    <t>303/282</t>
  </si>
  <si>
    <t>1386/04/12</t>
  </si>
  <si>
    <t xml:space="preserve">شركة العالمية لصناعات الحديثة </t>
  </si>
  <si>
    <t>1399/02/06</t>
  </si>
  <si>
    <t>شركة العالمية للمداد وااسواق</t>
  </si>
  <si>
    <t>شركة العيسائي</t>
  </si>
  <si>
    <t>1376/07/01</t>
  </si>
  <si>
    <t>شركة العيسائي للتجارة</t>
  </si>
  <si>
    <t>358/359/479/480/481/482</t>
  </si>
  <si>
    <t>شركة الغيوم للادوات الكهربائية</t>
  </si>
  <si>
    <t>353/354/363</t>
  </si>
  <si>
    <t>شركة الفارس ستور التجارية</t>
  </si>
  <si>
    <t>227/228/229/230</t>
  </si>
  <si>
    <t>1387/01/17</t>
  </si>
  <si>
    <t>شركة الفهرس المتميزة</t>
  </si>
  <si>
    <t>287/288/289/298</t>
  </si>
  <si>
    <t>1392/09/04</t>
  </si>
  <si>
    <t>شركة الفهرس المميزة التجارية</t>
  </si>
  <si>
    <t>تم</t>
  </si>
  <si>
    <t>شركة القمة الفضية التجارية</t>
  </si>
  <si>
    <t>القمة الفضية</t>
  </si>
  <si>
    <t>يحتاج للتاكيد السنوي لسجل المستاجر</t>
  </si>
  <si>
    <t>خطاب القمة الفضية</t>
  </si>
  <si>
    <t>163/164</t>
  </si>
  <si>
    <t>شركة القناعة المتميزة المحدودة</t>
  </si>
  <si>
    <t>1404/09/05</t>
  </si>
  <si>
    <t>شركة القناعه المتميزة المحدودة</t>
  </si>
  <si>
    <t>A 55</t>
  </si>
  <si>
    <t>شركة الماس المتحدة للتجارة</t>
  </si>
  <si>
    <t>خطاب شركة الماس</t>
  </si>
  <si>
    <t>سوف يتم السداد الشهر هذا</t>
  </si>
  <si>
    <t>247/248</t>
  </si>
  <si>
    <t>سوف يتم التحويل الاسبوع هذا</t>
  </si>
  <si>
    <t>55 B</t>
  </si>
  <si>
    <t>منتظم - عقد إلكتروني</t>
  </si>
  <si>
    <t>شركة المراقب الالي</t>
  </si>
  <si>
    <t>شركة المشارف العالمية التجارية</t>
  </si>
  <si>
    <t>شركة المكتب الفني للاعمال الدولية</t>
  </si>
  <si>
    <t>شركة الموردون التجارية</t>
  </si>
  <si>
    <t>ملحق 78</t>
  </si>
  <si>
    <t>1401/07/28</t>
  </si>
  <si>
    <t>ملحق البرج الشمالي</t>
  </si>
  <si>
    <t>شركة النقيب للانارة</t>
  </si>
  <si>
    <t>1404/10/13</t>
  </si>
  <si>
    <t>خطاب النقيب</t>
  </si>
  <si>
    <t xml:space="preserve">شركة النقيب للانارة الحديثة </t>
  </si>
  <si>
    <t>1404/1/12</t>
  </si>
  <si>
    <t>تم دفع مبلغ حتى 2025/06/31م</t>
  </si>
  <si>
    <t>شركة الهيبة الدولية للمقاولات</t>
  </si>
  <si>
    <t>1400/12/12</t>
  </si>
  <si>
    <t>شركة الوادي الماسية</t>
  </si>
  <si>
    <t xml:space="preserve">شركة الوادي الماسية </t>
  </si>
  <si>
    <t>1406/07/01</t>
  </si>
  <si>
    <t>شركة انارة الكرز التجارية</t>
  </si>
  <si>
    <t>ملحق54</t>
  </si>
  <si>
    <t>15/03/1992</t>
  </si>
  <si>
    <t>ملحق البرج الجنوبي</t>
  </si>
  <si>
    <t>دفعه حتى 2025/04/31م</t>
  </si>
  <si>
    <t>شركة باصهي</t>
  </si>
  <si>
    <t>1373/07/01</t>
  </si>
  <si>
    <t>شركة باصهي للتجارة</t>
  </si>
  <si>
    <t>309/330</t>
  </si>
  <si>
    <t>1391/07/01</t>
  </si>
  <si>
    <t>شركة باصهي للخدمات التجارية</t>
  </si>
  <si>
    <t>226/231</t>
  </si>
  <si>
    <t>خطاب باصهي</t>
  </si>
  <si>
    <t xml:space="preserve">شركة بيت الكهرباء </t>
  </si>
  <si>
    <t>388/407</t>
  </si>
  <si>
    <t>1370/07/01</t>
  </si>
  <si>
    <t>شركة بيت المصباح</t>
  </si>
  <si>
    <t>خطاب بيت المصباح</t>
  </si>
  <si>
    <t xml:space="preserve">شركة تطبيق الاضاءة للتجارة </t>
  </si>
  <si>
    <t>1384/03/10</t>
  </si>
  <si>
    <t>خطاب تطبيق</t>
  </si>
  <si>
    <t>شركة تميز الفنار</t>
  </si>
  <si>
    <t>شركة تميز الفنار التجارية</t>
  </si>
  <si>
    <t>ملحق 55</t>
  </si>
  <si>
    <t>شركة جسر الأمان الأمنية</t>
  </si>
  <si>
    <t>شركة جوري العصرية التجارية</t>
  </si>
  <si>
    <t>ملحق 79</t>
  </si>
  <si>
    <t>شركة حسون الذهبي التجارية</t>
  </si>
  <si>
    <t>22/10/1982</t>
  </si>
  <si>
    <t>شركة خط الحديث للتجارة</t>
  </si>
  <si>
    <t>شركة دايرة الركن</t>
  </si>
  <si>
    <t>116/117</t>
  </si>
  <si>
    <t>بيسلم الوحدة.. هل تم التسليم وعمل مخالصة نهائية ومصادقة على رصيده؟</t>
  </si>
  <si>
    <t>شركة راية العالي التجارية</t>
  </si>
  <si>
    <t>1407/04/04</t>
  </si>
  <si>
    <t>المرحلة الثانية</t>
  </si>
  <si>
    <t>شركة ربوع الخير التجارية</t>
  </si>
  <si>
    <t>413/444</t>
  </si>
  <si>
    <t>1383/07/01</t>
  </si>
  <si>
    <t>دفع السنة كاملة</t>
  </si>
  <si>
    <t>شركة ربوع الخير المحدودة</t>
  </si>
  <si>
    <t>1379/07/01</t>
  </si>
  <si>
    <t>دفع السنه كاملة</t>
  </si>
  <si>
    <t>شركة ربيع المملكة للتجارة</t>
  </si>
  <si>
    <t>1391/01/03</t>
  </si>
  <si>
    <t>شركة روائع الثريا</t>
  </si>
  <si>
    <t>1408/11/15</t>
  </si>
  <si>
    <t>50A</t>
  </si>
  <si>
    <t>شركة روائع الثريا التجارية</t>
  </si>
  <si>
    <t>268/269</t>
  </si>
  <si>
    <t>خطاب روائع الثريا</t>
  </si>
  <si>
    <t>شركة روائع الثريا للتجارة</t>
  </si>
  <si>
    <t xml:space="preserve">شركة زين </t>
  </si>
  <si>
    <t>برج زين 674</t>
  </si>
  <si>
    <t>تم ابلاغهم بي ارسال بيناتهم</t>
  </si>
  <si>
    <t>شركة سراج المجرة</t>
  </si>
  <si>
    <t>خطاب سراج المجرة</t>
  </si>
  <si>
    <t>شركة سنتر لايت</t>
  </si>
  <si>
    <t xml:space="preserve">شركة شرق طيبة </t>
  </si>
  <si>
    <t>35/50</t>
  </si>
  <si>
    <t>1404/02/28</t>
  </si>
  <si>
    <t>شركة شرق طيبة للتجارة</t>
  </si>
  <si>
    <t>شركة صالح محمد الحقباني</t>
  </si>
  <si>
    <t>15/16/18</t>
  </si>
  <si>
    <t>1366/07/01</t>
  </si>
  <si>
    <t>شركة صفا الريادة</t>
  </si>
  <si>
    <t>خطاب صفا الريادة</t>
  </si>
  <si>
    <t>شركة عبدالمجيد العامري للتجارة</t>
  </si>
  <si>
    <t>317/318</t>
  </si>
  <si>
    <t>شركة عمر سعيد باحطاب</t>
  </si>
  <si>
    <t>128/129/135/134</t>
  </si>
  <si>
    <t>1378/07/01</t>
  </si>
  <si>
    <t>393/394/400/401/402</t>
  </si>
  <si>
    <t xml:space="preserve">شركة عمر سعيد باحطاب </t>
  </si>
  <si>
    <t>شركة غندورة التجارية</t>
  </si>
  <si>
    <t>38/39</t>
  </si>
  <si>
    <t>1459/05/19</t>
  </si>
  <si>
    <t>شركة قوات العرب</t>
  </si>
  <si>
    <t>شركة كنز الأضواء التجاري</t>
  </si>
  <si>
    <t>23/07/1971</t>
  </si>
  <si>
    <t>شركة كنز الثريا</t>
  </si>
  <si>
    <t>148/149</t>
  </si>
  <si>
    <t xml:space="preserve">شركة كهرباء الثريا </t>
  </si>
  <si>
    <t>شركة كهرباء الثريا للادوات الكهربائية</t>
  </si>
  <si>
    <t>312/327</t>
  </si>
  <si>
    <t>شركة كهرباء الجنوب</t>
  </si>
  <si>
    <t>1/2/3/4/5/28/29/30/31</t>
  </si>
  <si>
    <t xml:space="preserve">شركة كهرباء الشرق </t>
  </si>
  <si>
    <t>427/428/429/430</t>
  </si>
  <si>
    <t>1382/02/25</t>
  </si>
  <si>
    <t>يتم عمل سند امر</t>
  </si>
  <si>
    <t xml:space="preserve">شركة لمعة البرق </t>
  </si>
  <si>
    <t>36/49</t>
  </si>
  <si>
    <t>17/09/1982</t>
  </si>
  <si>
    <t>شركة محمد احمد بافيل العمودي</t>
  </si>
  <si>
    <t>425/426/432/431</t>
  </si>
  <si>
    <t>1385/04/15</t>
  </si>
  <si>
    <t>شركة محمد عبدالعزيز بوارث</t>
  </si>
  <si>
    <t>سند لأمر خلال شهر</t>
  </si>
  <si>
    <t>شركة محمد عبدالعزيز بوارث التجارية</t>
  </si>
  <si>
    <t>شركة مخازن الكهرباء</t>
  </si>
  <si>
    <t>1401/01/12</t>
  </si>
  <si>
    <t xml:space="preserve">شركة مصابيح النستقبل </t>
  </si>
  <si>
    <t>شركة مصادر الكهرباء</t>
  </si>
  <si>
    <t>خطاب مصادر الكهرباء</t>
  </si>
  <si>
    <t>شركة نطاق الاضائة للادوات الكهربائية</t>
  </si>
  <si>
    <t>278/279</t>
  </si>
  <si>
    <t>خطاب نطاق الإضاءة</t>
  </si>
  <si>
    <t>شركة نور الغد التجارية</t>
  </si>
  <si>
    <t>1417/05/21</t>
  </si>
  <si>
    <t>خطاب نور الغد</t>
  </si>
  <si>
    <t>شركة هشام السويدي للتجارة</t>
  </si>
  <si>
    <t>395/396/397/398/399</t>
  </si>
  <si>
    <t>1401/07/01</t>
  </si>
  <si>
    <t xml:space="preserve">محمد محسن </t>
  </si>
  <si>
    <t>تم الدفع سنة كاملة</t>
  </si>
  <si>
    <t>شركة وادي المسير للتجارة</t>
  </si>
  <si>
    <t>شركة وادي النور</t>
  </si>
  <si>
    <t>311/328</t>
  </si>
  <si>
    <t>خطاب وادي النور</t>
  </si>
  <si>
    <t>شركة وجود المتميزة للتجارة</t>
  </si>
  <si>
    <t>1406/05/07</t>
  </si>
  <si>
    <t>كهرباء الجنوب</t>
  </si>
  <si>
    <t>1405/02/12</t>
  </si>
  <si>
    <t>28/30/34/35/36/38/42/44/33</t>
  </si>
  <si>
    <t>313/314/315/316/323/324/325/326</t>
  </si>
  <si>
    <t>345/346</t>
  </si>
  <si>
    <t>37/39</t>
  </si>
  <si>
    <t>غرفة 8</t>
  </si>
  <si>
    <t>مؤسسة أضواء الجنوبية للتجارة</t>
  </si>
  <si>
    <t>1392/09/28</t>
  </si>
  <si>
    <t>مؤسسة ابدا للتجارة</t>
  </si>
  <si>
    <t>1424/03/14</t>
  </si>
  <si>
    <t>خطاب إيدا للتجارة</t>
  </si>
  <si>
    <t>مؤسسة احمد سعيد العمودي</t>
  </si>
  <si>
    <t>تم ابلاغ المستاجر بارسال البيانات</t>
  </si>
  <si>
    <t>مؤسسة احمد عمر باقازي</t>
  </si>
  <si>
    <t xml:space="preserve">ملحق 5 </t>
  </si>
  <si>
    <t>مؤسسة احمد عمر عبدالله باقازي</t>
  </si>
  <si>
    <t>392/403</t>
  </si>
  <si>
    <t>57/58</t>
  </si>
  <si>
    <t>مؤسسة اسرار الحجاب</t>
  </si>
  <si>
    <t>109/110</t>
  </si>
  <si>
    <t>1402/09/21</t>
  </si>
  <si>
    <t>خطاب اسرار الحجاب</t>
  </si>
  <si>
    <t>مؤسسة اسطورة الجنوب للتجارة</t>
  </si>
  <si>
    <t>1402/01/14</t>
  </si>
  <si>
    <t>مؤسسة اسطورة الجنوبية للتجارة</t>
  </si>
  <si>
    <t>مؤسسة اسيا المتميزة للتجارة</t>
  </si>
  <si>
    <t>205/252</t>
  </si>
  <si>
    <t>1402/11/08</t>
  </si>
  <si>
    <t>خطاب آسيا المتميزة</t>
  </si>
  <si>
    <t>تم دفع مبلغ حتى 2025/02/30  وسوف يتم دفع مبلغ الشهر هذا</t>
  </si>
  <si>
    <t>454/469</t>
  </si>
  <si>
    <t>مؤسسة اسيا المميزة</t>
  </si>
  <si>
    <t>مؤسسة اصيل للادوات الكهرباية</t>
  </si>
  <si>
    <t>تم رفع فيها بلاغ</t>
  </si>
  <si>
    <t>مؤسسة اضاءة الخضراء التجارية</t>
  </si>
  <si>
    <t>1388/7/19</t>
  </si>
  <si>
    <t xml:space="preserve">مؤسسة اضاءة المدن </t>
  </si>
  <si>
    <t>201/202</t>
  </si>
  <si>
    <t xml:space="preserve">مؤسسة اضاءة المودة </t>
  </si>
  <si>
    <t>1402/12/22</t>
  </si>
  <si>
    <t>مؤسسة اضاءة المودة التجارية</t>
  </si>
  <si>
    <t>347/348/349</t>
  </si>
  <si>
    <t>خطاب اضاءة المودة</t>
  </si>
  <si>
    <t>مؤسسة اضاءة كندة التجارية</t>
  </si>
  <si>
    <t>334/335</t>
  </si>
  <si>
    <t>1418/07/27</t>
  </si>
  <si>
    <t>دفعه من الايجار وسوف يدفع نهاية الشهر</t>
  </si>
  <si>
    <t>456/467</t>
  </si>
  <si>
    <t>تم دفع مبلغ حتى 2025/02/30م</t>
  </si>
  <si>
    <t>مؤسسة اطلالة الفجر التجارية</t>
  </si>
  <si>
    <t>جزئي</t>
  </si>
  <si>
    <t>خطاب إطلالة الفجر</t>
  </si>
  <si>
    <t>مؤسسة اطلالة الفجر التجاريةسابقا , مؤسسة النسيم
الكهرباء التجارية</t>
  </si>
  <si>
    <t>ملحق 1</t>
  </si>
  <si>
    <t>٢٠٠٢/٠٦/١٠</t>
  </si>
  <si>
    <t>مؤسسة افاق الانارة للتجارة</t>
  </si>
  <si>
    <t>1395/08/03</t>
  </si>
  <si>
    <t>خطاب آفاق الإنارة</t>
  </si>
  <si>
    <t>مؤسسة الأضواء المستقبلية التجارية</t>
  </si>
  <si>
    <t>1394/03/21</t>
  </si>
  <si>
    <t>مؤسسة الإضاءة الخضراء</t>
  </si>
  <si>
    <t>1388/07/19</t>
  </si>
  <si>
    <t>مؤسسة الاضاءة الذهبية للتجارة</t>
  </si>
  <si>
    <t>1392/10/24</t>
  </si>
  <si>
    <t>منتظم – عقد إلكتروني</t>
  </si>
  <si>
    <t>264/271</t>
  </si>
  <si>
    <t>مؤسسة الاضائة الخضراء للتجارة</t>
  </si>
  <si>
    <t>مؤسسة الاضواء المستقبلية</t>
  </si>
  <si>
    <t>مؤسسة الانارة الرشيدة</t>
  </si>
  <si>
    <t>A2735024</t>
  </si>
  <si>
    <t>سوف يتم الدفع الاسبوع هذا</t>
  </si>
  <si>
    <t>306/307/333</t>
  </si>
  <si>
    <t>مؤسسة الانارة الرشيدة سابقا , الان مؤسسة الإنارة العصرية المميزة</t>
  </si>
  <si>
    <t>1380/07/24</t>
  </si>
  <si>
    <t>خطاب الإنارة العصرية</t>
  </si>
  <si>
    <t>مؤسسة الانارة المميزة</t>
  </si>
  <si>
    <t>1397/5/22</t>
  </si>
  <si>
    <t>سوف يتم دفع دفعة بعد اسبوعين</t>
  </si>
  <si>
    <t xml:space="preserve">مؤسسة الانوار الموفرة </t>
  </si>
  <si>
    <t>455/468</t>
  </si>
  <si>
    <t>1397/10/11</t>
  </si>
  <si>
    <t>مؤسسة البرق الجنوبية</t>
  </si>
  <si>
    <t>203/204</t>
  </si>
  <si>
    <t>خطاب شركة البيرق</t>
  </si>
  <si>
    <t>مؤسسة الحجاز الذهبي للملابس الجاهزة</t>
  </si>
  <si>
    <t>223/224</t>
  </si>
  <si>
    <t>مؤسسة الرواد الجميلة</t>
  </si>
  <si>
    <t>مؤسسة الرواد الحلول الحديثة للتجارة</t>
  </si>
  <si>
    <t>1401/03/15</t>
  </si>
  <si>
    <t>مؤسسة الزقزوق للانارة والالكترونيات</t>
  </si>
  <si>
    <t>257/256</t>
  </si>
  <si>
    <t>1375/07/01</t>
  </si>
  <si>
    <t>خطاب الزقزوق</t>
  </si>
  <si>
    <t>281/280</t>
  </si>
  <si>
    <t>مؤسسة الشريف خضر الغيثني</t>
  </si>
  <si>
    <t>1359/07/01</t>
  </si>
  <si>
    <t>مؤسسة الشريف خضر ناصر الغيثي</t>
  </si>
  <si>
    <t>422/435</t>
  </si>
  <si>
    <t>1459/10/14</t>
  </si>
  <si>
    <t>مؤسسة الفارس ستور</t>
  </si>
  <si>
    <t>350/367</t>
  </si>
  <si>
    <t>مؤسسة القافلة الزرقاء</t>
  </si>
  <si>
    <t>390/405</t>
  </si>
  <si>
    <t>1387/11/15</t>
  </si>
  <si>
    <t>مؤسسة القمر العالي</t>
  </si>
  <si>
    <t>1406/03/14</t>
  </si>
  <si>
    <t>مؤسسة الكون الحديث للتجارة</t>
  </si>
  <si>
    <t>دفعه من الايجار</t>
  </si>
  <si>
    <t>مؤسسة المساحات المضيئة للتجارة</t>
  </si>
  <si>
    <t>461/462/461A</t>
  </si>
  <si>
    <t>1384/10/03</t>
  </si>
  <si>
    <t>مؤسسة المعتمد للتجارة</t>
  </si>
  <si>
    <t>16/03/1985</t>
  </si>
  <si>
    <t>238/239</t>
  </si>
  <si>
    <t>مؤسسة المنتجات الكهربائية</t>
  </si>
  <si>
    <t>1424/01/04</t>
  </si>
  <si>
    <t>مؤسسة المواد الهندسية الصناعية</t>
  </si>
  <si>
    <t>1390/02/05</t>
  </si>
  <si>
    <t>تم دفع مبلغ حتى 2025/04/30م</t>
  </si>
  <si>
    <t xml:space="preserve">مؤسسة المواد الهندسية والصناعة </t>
  </si>
  <si>
    <t>450/473</t>
  </si>
  <si>
    <t>مؤسسة النسيم للكهرباء التجارية</t>
  </si>
  <si>
    <t>1422/10/22</t>
  </si>
  <si>
    <t>مؤسسة النقطة الحديثة للتجارة</t>
  </si>
  <si>
    <t>210/211</t>
  </si>
  <si>
    <t>1395/11/07</t>
  </si>
  <si>
    <t>مؤسسة الوسامة لتجارة</t>
  </si>
  <si>
    <t>مؤسسة انارة الشارقة التجارية</t>
  </si>
  <si>
    <t>مؤسسة انارة الفيروز</t>
  </si>
  <si>
    <t>445/446/477/478</t>
  </si>
  <si>
    <t xml:space="preserve">مؤسسة انارة جدة </t>
  </si>
  <si>
    <t>1392/09/05</t>
  </si>
  <si>
    <t>مؤسسة انارة جدة التجارية</t>
  </si>
  <si>
    <t>مؤسسة انارة جدة للتجارة</t>
  </si>
  <si>
    <t>تم دفع دفعه</t>
  </si>
  <si>
    <t>مؤسسة انارة فيفاء للتجارة</t>
  </si>
  <si>
    <t>391/404</t>
  </si>
  <si>
    <t>1404/10/07</t>
  </si>
  <si>
    <t>مؤسسة انارة لوما التجارية</t>
  </si>
  <si>
    <t>380/381</t>
  </si>
  <si>
    <t>1399/04/28</t>
  </si>
  <si>
    <t>مكتب 97</t>
  </si>
  <si>
    <t>مؤسسة انوار الأسطورة التجارية</t>
  </si>
  <si>
    <t>1404/09/04</t>
  </si>
  <si>
    <t>مؤسسة انوار العاصمة التجارية</t>
  </si>
  <si>
    <t>1403/11/08</t>
  </si>
  <si>
    <t>خطاب أنوار العاصمة</t>
  </si>
  <si>
    <t>مؤسسة انوار المستديرة التجارية</t>
  </si>
  <si>
    <t>31/12/2025</t>
  </si>
  <si>
    <t>مكتب 96</t>
  </si>
  <si>
    <t>1389/03/08</t>
  </si>
  <si>
    <t>مؤسسة انوار المستديرة للتجارة</t>
  </si>
  <si>
    <t>مؤسسة انوار المصابيح التجارية</t>
  </si>
  <si>
    <t>457/466</t>
  </si>
  <si>
    <t>مؤسسة اهرام المدينة للتجارة</t>
  </si>
  <si>
    <t>157/158</t>
  </si>
  <si>
    <t>1409/07/25</t>
  </si>
  <si>
    <t>مؤسسة اية لتخليص الجمركي</t>
  </si>
  <si>
    <t>1389/11/26</t>
  </si>
  <si>
    <t>اثبات حاله تعاقدية+احالة الى القضاء</t>
  </si>
  <si>
    <t>مؤسسة باجعفر التجارية</t>
  </si>
  <si>
    <t>45/46</t>
  </si>
  <si>
    <t xml:space="preserve">مؤسسة برق التيسير </t>
  </si>
  <si>
    <t>448/475</t>
  </si>
  <si>
    <t>1384/02/13</t>
  </si>
  <si>
    <t xml:space="preserve">دفع دفعه </t>
  </si>
  <si>
    <t>مؤسسة بصمة الأضواء التجارية</t>
  </si>
  <si>
    <t>1412/06/14</t>
  </si>
  <si>
    <t>تم رفعه 26/08/2025</t>
  </si>
  <si>
    <t>مؤسسة بندر خالد بارباع</t>
  </si>
  <si>
    <t>152/153/154</t>
  </si>
  <si>
    <t>1402/11/12</t>
  </si>
  <si>
    <t>مؤسسة بيت الشرق الحديثة التجارية</t>
  </si>
  <si>
    <t>361/362</t>
  </si>
  <si>
    <t>1382/08/06</t>
  </si>
  <si>
    <t>مؤسسة تالة النور للادوات الكهربائية</t>
  </si>
  <si>
    <t>مؤسسة ثمرات المسيلة للتجارة</t>
  </si>
  <si>
    <t>خطاب ثمرات المسيلة</t>
  </si>
  <si>
    <t>سوف يتم السداد بعد اسبوع</t>
  </si>
  <si>
    <t>مؤسسة جزيرة المستقبل للاملابس الجاهزة</t>
  </si>
  <si>
    <t xml:space="preserve">مؤسسة جوري العصرية </t>
  </si>
  <si>
    <t>1404/07/21</t>
  </si>
  <si>
    <t>مؤسسة جيزان للاقمشة</t>
  </si>
  <si>
    <t>مكتب 11</t>
  </si>
  <si>
    <t>1374/07/01</t>
  </si>
  <si>
    <t xml:space="preserve">مؤسسة حلول الجنوبية </t>
  </si>
  <si>
    <t>مؤسسة حمود خيرات الخيراتي</t>
  </si>
  <si>
    <t>40 A</t>
  </si>
  <si>
    <t>مؤسسة حواء للتجارة</t>
  </si>
  <si>
    <t>310/329</t>
  </si>
  <si>
    <t>1351/07/01</t>
  </si>
  <si>
    <t>مؤسسة خالد سليمان صالح باسهل</t>
  </si>
  <si>
    <t>383/384/412</t>
  </si>
  <si>
    <t>1378/02/23</t>
  </si>
  <si>
    <t xml:space="preserve">مرفوض </t>
  </si>
  <si>
    <t>مؤسسة خالد غربي ردة المجاشي</t>
  </si>
  <si>
    <t>1399/08/27</t>
  </si>
  <si>
    <t>مؤسسة خميس عبدالله بن هلابي</t>
  </si>
  <si>
    <t>1386/02/09</t>
  </si>
  <si>
    <t>مؤسسة درة الوصال التجارية</t>
  </si>
  <si>
    <t>1414/05/21</t>
  </si>
  <si>
    <t>خطاب درة الوصال</t>
  </si>
  <si>
    <t>مسافر سوف يسدد نهاية الشهر</t>
  </si>
  <si>
    <t xml:space="preserve">مؤسسة دنيا النجف التجارية </t>
  </si>
  <si>
    <t>1418/06/29</t>
  </si>
  <si>
    <t>مؤسسة رائد الجنوبية للكهرباء</t>
  </si>
  <si>
    <t>296/297</t>
  </si>
  <si>
    <t>غير منتظم – عقد إلكتروني</t>
  </si>
  <si>
    <t>418/439</t>
  </si>
  <si>
    <t>1401/08/08</t>
  </si>
  <si>
    <t>مؤسسة راشد حسين محمد بطين المنهالي</t>
  </si>
  <si>
    <t>260/275</t>
  </si>
  <si>
    <t>273/274</t>
  </si>
  <si>
    <t>مؤسسة رسم الأعمار للتجارة</t>
  </si>
  <si>
    <t>1377/07/01</t>
  </si>
  <si>
    <t>مؤسسة روافد اليسر التجارية</t>
  </si>
  <si>
    <t>1407/03/21</t>
  </si>
  <si>
    <t>مؤسسة ريتال فاروق حلواني</t>
  </si>
  <si>
    <t>1427/04/12</t>
  </si>
  <si>
    <t>مؤسسة ريسون التجارة</t>
  </si>
  <si>
    <t>1410/03/17</t>
  </si>
  <si>
    <t>خطاب ريسون</t>
  </si>
  <si>
    <t>مؤسسة ريسون التجارية</t>
  </si>
  <si>
    <t>10//23</t>
  </si>
  <si>
    <t>17/03/1410</t>
  </si>
  <si>
    <t>161/162</t>
  </si>
  <si>
    <t>61/62</t>
  </si>
  <si>
    <t>1410/3/17</t>
  </si>
  <si>
    <t xml:space="preserve">مؤسسة ريسون التجارية </t>
  </si>
  <si>
    <t>21/22</t>
  </si>
  <si>
    <t>مؤسسة سالم المرشدي</t>
  </si>
  <si>
    <t>1357/01/01</t>
  </si>
  <si>
    <t>تم دفع دفعه والدفعه القادمة بعد اسبوعين سوف يدفع</t>
  </si>
  <si>
    <t>مؤسسة سالم حسن محمد بطين المنهالي</t>
  </si>
  <si>
    <t>مؤسسة سراج المجرة</t>
  </si>
  <si>
    <t>294/295/293</t>
  </si>
  <si>
    <t>1399/08/16</t>
  </si>
  <si>
    <t xml:space="preserve">مؤسسة سرعة التيار </t>
  </si>
  <si>
    <t>460/463</t>
  </si>
  <si>
    <t xml:space="preserve">مؤسسة سطوع الإضاءة الحديثة </t>
  </si>
  <si>
    <t>مؤسسة سعاد عيضة العلياني</t>
  </si>
  <si>
    <t>وحدة2/3</t>
  </si>
  <si>
    <t>1410/03/26</t>
  </si>
  <si>
    <t>مؤسسة سعود عبدالعزيز يوسف التجارية</t>
  </si>
  <si>
    <t>1405/11/22</t>
  </si>
  <si>
    <t>مؤسسة سلافة ادريس فتيني</t>
  </si>
  <si>
    <t>213/244/245</t>
  </si>
  <si>
    <t>1416/07/07</t>
  </si>
  <si>
    <t>خطاب سلافة إدريس</t>
  </si>
  <si>
    <t>تم دفع دفعه من الايجار والمتبقي الشهر هذا يحولة</t>
  </si>
  <si>
    <t>مؤسسة سمات الدولية الأمنية</t>
  </si>
  <si>
    <t>1386/07/01</t>
  </si>
  <si>
    <t>تم الدفع السنة كاملة</t>
  </si>
  <si>
    <t>9//24</t>
  </si>
  <si>
    <t>مؤسسة سونة للتجارة</t>
  </si>
  <si>
    <t>مؤسسة سيف للانارة والتجارة</t>
  </si>
  <si>
    <t>343/374</t>
  </si>
  <si>
    <t>خطاب سيف للإنارة</t>
  </si>
  <si>
    <t>مسافر بيجي وسوف يسدد 6 شهور</t>
  </si>
  <si>
    <t xml:space="preserve">مؤسسة شذى الجوف </t>
  </si>
  <si>
    <t>بيسلم</t>
  </si>
  <si>
    <t>مايرد علشان يرسل الهوية</t>
  </si>
  <si>
    <t xml:space="preserve">مؤسسة شعلة الانارة </t>
  </si>
  <si>
    <t>1400/03/29</t>
  </si>
  <si>
    <t>مؤسسة شمس الليل التجاري</t>
  </si>
  <si>
    <t>365/366</t>
  </si>
  <si>
    <t>مؤسسة شمعة الفانوس</t>
  </si>
  <si>
    <t>453/470</t>
  </si>
  <si>
    <t>متأخر في سداد المستحقات، تأخر في توثيق العقود، مخالفات أمنية بالجلوس في الممرات، استخدام المكاتب كمستودعات، السلوك</t>
  </si>
  <si>
    <t>71 A</t>
  </si>
  <si>
    <t>١٤٠٢/٠١/١٤</t>
  </si>
  <si>
    <t xml:space="preserve">مؤسسة صالح عبيدالله حامد الغامدي </t>
  </si>
  <si>
    <t>259/276</t>
  </si>
  <si>
    <t>مؤسسة صبا الفرع للمقاولات</t>
  </si>
  <si>
    <t>مؤسسة صفوة الانارة للتجارة</t>
  </si>
  <si>
    <t>408/409</t>
  </si>
  <si>
    <t>مؤسسة صفية عبدالقادر نجاش</t>
  </si>
  <si>
    <t>1395/07/01</t>
  </si>
  <si>
    <t>مؤسسة صفية عبدالقادر نجاش التجارية</t>
  </si>
  <si>
    <t>7 / 26</t>
  </si>
  <si>
    <t>مؤسسة صفية عبدالقادر نجاش للتجارة</t>
  </si>
  <si>
    <t xml:space="preserve">مؤسسة ضوء الهلال للكهرباء </t>
  </si>
  <si>
    <t>1400/07/01</t>
  </si>
  <si>
    <t>مؤسسة طلال محمد مصبح الغامدي</t>
  </si>
  <si>
    <t>مؤسسة طيف الاضاءة للتجارة</t>
  </si>
  <si>
    <t>301/302</t>
  </si>
  <si>
    <t>28/08/1982</t>
  </si>
  <si>
    <t>مؤسسة عاصم عبدالله الاشعري</t>
  </si>
  <si>
    <t>1384/03/18</t>
  </si>
  <si>
    <t>مؤسسة عاصم عوض علي بن ماضي</t>
  </si>
  <si>
    <t>1397/12/28</t>
  </si>
  <si>
    <t>مؤسسة عاصم عوض علي بن ماضي التجارية</t>
  </si>
  <si>
    <t>1397/12/08</t>
  </si>
  <si>
    <t>مؤسسة عايض صالح عايض الشلوي</t>
  </si>
  <si>
    <t>مؤسسة عبدالله حسن القاضي</t>
  </si>
  <si>
    <t>1413/03/09</t>
  </si>
  <si>
    <t>مؤسسة عبدالله سالم ناصر باسهل</t>
  </si>
  <si>
    <t>1403/10/26</t>
  </si>
  <si>
    <t>يتم ارسال خطاب بتسليم السجل المجدد في اسرع وقت +احالته الى القضاء</t>
  </si>
  <si>
    <t>مؤسسة عبدالله سعيد صالح باسهل</t>
  </si>
  <si>
    <t>1382/04/05</t>
  </si>
  <si>
    <t>مؤسسة عبدالله صالح باحمدين</t>
  </si>
  <si>
    <t>414/415/442/443</t>
  </si>
  <si>
    <t>مؤسسة عبدالله محمد باجعفر التجارية</t>
  </si>
  <si>
    <t>234/235</t>
  </si>
  <si>
    <t>1386/05/27</t>
  </si>
  <si>
    <t xml:space="preserve">مؤسسة عبدالمجيد العامري </t>
  </si>
  <si>
    <t>379/378</t>
  </si>
  <si>
    <t>مؤسسة علي عوض المنهالي</t>
  </si>
  <si>
    <t>1412/11/07</t>
  </si>
  <si>
    <t>مؤسسة عمر احمد سعيد باقازي</t>
  </si>
  <si>
    <t>420/437</t>
  </si>
  <si>
    <t>مؤسسة عمر سعيد أبو زيد التجارية</t>
  </si>
  <si>
    <t>337/338</t>
  </si>
  <si>
    <t>1358/07/01</t>
  </si>
  <si>
    <t>51 A</t>
  </si>
  <si>
    <t>مؤسسة عوض مبارك بن جبير</t>
  </si>
  <si>
    <t>1384/09/29</t>
  </si>
  <si>
    <t>مؤسسة عيسى محمد سعيد الزبيدي</t>
  </si>
  <si>
    <t>240/241</t>
  </si>
  <si>
    <t>30/12/1954</t>
  </si>
  <si>
    <t xml:space="preserve">مؤسسة عيسى محمد سعيد الزبيدي </t>
  </si>
  <si>
    <t>مؤسسة فارس علي بحاري</t>
  </si>
  <si>
    <t>1416/11/33</t>
  </si>
  <si>
    <t>مؤسسة فايز عبدالله سعيد المنهالي</t>
  </si>
  <si>
    <t>خطاب فايز المنهالي</t>
  </si>
  <si>
    <t>عنده مشاكل في حسابه سوف يحلها ويحول حق 6 شهور على طول</t>
  </si>
  <si>
    <t>مؤسسة فهد عبدالله صغير مدخلي للتجارة</t>
  </si>
  <si>
    <t>1399/12/01</t>
  </si>
  <si>
    <t xml:space="preserve">مؤسسة فهد مدخلي </t>
  </si>
  <si>
    <t>مؤسسة فولت للتجارة</t>
  </si>
  <si>
    <t>1410/04/27</t>
  </si>
  <si>
    <t>خطاب فولت</t>
  </si>
  <si>
    <t>مؤسسة كهرباء الجنوب</t>
  </si>
  <si>
    <t>48/49</t>
  </si>
  <si>
    <t>مؤسسة كهرباء النخيل للادوات الكهربائية</t>
  </si>
  <si>
    <t>مؤسسة لايت استار للادوات الكهربائية</t>
  </si>
  <si>
    <t>155/156</t>
  </si>
  <si>
    <t>1419/12/06</t>
  </si>
  <si>
    <t xml:space="preserve">مؤسسة ماهر احمد عبدالخالق الحاج </t>
  </si>
  <si>
    <t>1399/10/14</t>
  </si>
  <si>
    <t>مؤسسة ماهر احمد عبدالخالق الحاج للتجارة</t>
  </si>
  <si>
    <t>53 A</t>
  </si>
  <si>
    <t>مؤسسة ماهر احمد عبدالخالق للتجارة</t>
  </si>
  <si>
    <t>مؤسسة مجد دبي</t>
  </si>
  <si>
    <t>304/305</t>
  </si>
  <si>
    <t>1382/07/01</t>
  </si>
  <si>
    <t>مؤسسة محمد أبو بكر الزبيدي التجارية</t>
  </si>
  <si>
    <t>232/233</t>
  </si>
  <si>
    <t>خطاب أبو بكر الزبيدي</t>
  </si>
  <si>
    <t>مؤسسة محمد سالم العماري</t>
  </si>
  <si>
    <t>340/376</t>
  </si>
  <si>
    <t>خطاب محمد سالم</t>
  </si>
  <si>
    <t>تم رفعه 31/08/2025</t>
  </si>
  <si>
    <t>51/52/53</t>
  </si>
  <si>
    <t>مؤسسة محمد سليمان عبد</t>
  </si>
  <si>
    <t>1387/01/04</t>
  </si>
  <si>
    <t>مؤسسة محمد شيخ عبود العمودي</t>
  </si>
  <si>
    <t>449/474</t>
  </si>
  <si>
    <t>1391/10/24</t>
  </si>
  <si>
    <t>يتم عمل سند امر - إثبات حالة تعاقدية</t>
  </si>
  <si>
    <t>مؤسسة مدى للادوات الكهربائية</t>
  </si>
  <si>
    <t>مؤسسة مساعد فرج مبروك التجارية</t>
  </si>
  <si>
    <t>1393/03/26</t>
  </si>
  <si>
    <t>مؤسسة مشاعل عبدالرحمن محمد الظاهري</t>
  </si>
  <si>
    <t>1372/07/01</t>
  </si>
  <si>
    <t>1411/04/19</t>
  </si>
  <si>
    <t>مؤسسة مصادر الأضواء التجارية</t>
  </si>
  <si>
    <t>286/299</t>
  </si>
  <si>
    <t>1391/04/22</t>
  </si>
  <si>
    <t>مؤسسة معتصم مصطفى احمد مظفر</t>
  </si>
  <si>
    <t>1409/08/24</t>
  </si>
  <si>
    <t>غير منتظم - عقد إلكتروني</t>
  </si>
  <si>
    <t>مؤسسة ملهم حمود خيرات الخيراتي</t>
  </si>
  <si>
    <t>1417/11/01</t>
  </si>
  <si>
    <t>مؤسسة منتجات الاحلام التجارية</t>
  </si>
  <si>
    <t>1388/02/01</t>
  </si>
  <si>
    <t>424/433</t>
  </si>
  <si>
    <t>1404/12/22</t>
  </si>
  <si>
    <t>مؤسسة منى علي سالم بانقيطة</t>
  </si>
  <si>
    <t>1392/02/20</t>
  </si>
  <si>
    <t xml:space="preserve">مؤسسة نجف جدة </t>
  </si>
  <si>
    <t>1411/02/11</t>
  </si>
  <si>
    <t>خطاب نجف جدة</t>
  </si>
  <si>
    <t>مؤسسة نجف جدة للتجارة</t>
  </si>
  <si>
    <t xml:space="preserve">مؤسسة نجمة الانارة </t>
  </si>
  <si>
    <t>خطاب نجمة الإنارة</t>
  </si>
  <si>
    <t>مؤسسة نجود فايز خميس المزمومي</t>
  </si>
  <si>
    <t>1414/07/17</t>
  </si>
  <si>
    <t>مرفوض , تم رفعه 25/08/2025</t>
  </si>
  <si>
    <t>مؤسسة نجوم الأفكار للتجارة</t>
  </si>
  <si>
    <t>مؤسسة نفانف الحديثة للتجارة</t>
  </si>
  <si>
    <t>452/471</t>
  </si>
  <si>
    <t>1416/02/25</t>
  </si>
  <si>
    <t>مؤسسة هيثم للتجارة</t>
  </si>
  <si>
    <t>423/434</t>
  </si>
  <si>
    <t>1400/05/29</t>
  </si>
  <si>
    <t>مؤسسة وادي المسير للتجارة</t>
  </si>
  <si>
    <t>1382/11/14</t>
  </si>
  <si>
    <t>خطاب وادي المسير</t>
  </si>
  <si>
    <t>مسافر</t>
  </si>
  <si>
    <t>مؤسسة ينابيع الاضاءه للتجارة</t>
  </si>
  <si>
    <t>458/465</t>
  </si>
  <si>
    <t>محل نجمة الانارة</t>
  </si>
  <si>
    <t>مرفوض , تم رفعه 19/8/2025</t>
  </si>
  <si>
    <t>مصنع اسلاك الريادة</t>
  </si>
  <si>
    <t xml:space="preserve">مصنع بلجة لصناعة </t>
  </si>
  <si>
    <t>355/356</t>
  </si>
  <si>
    <t>1381/07/14</t>
  </si>
  <si>
    <t>معرض جيزان للاقمشة</t>
  </si>
  <si>
    <t>265/266/267</t>
  </si>
  <si>
    <t>1347/07/01</t>
  </si>
  <si>
    <t>موسسة صبا الأولى للتجارة</t>
  </si>
  <si>
    <t>الإجراء</t>
  </si>
  <si>
    <t>المنفذ</t>
  </si>
  <si>
    <t>الإجراء التالي</t>
  </si>
  <si>
    <t>الخانة فراغ + الرصيدالنهائي (أحمر)</t>
  </si>
  <si>
    <t>الوسيط</t>
  </si>
  <si>
    <t>رفع العقد عبر إيجار</t>
  </si>
  <si>
    <t>مساحة المكتب</t>
  </si>
  <si>
    <t>إدارة الوقف</t>
  </si>
  <si>
    <t>الموافقة على العقد إيجار (توثيق المؤجر) + توثيق المستأجر</t>
  </si>
  <si>
    <t>تزويدالوسيط برقم الهوية الصحيح أو تاريخ الميلاد الصحيح</t>
  </si>
  <si>
    <t>مراجعة المستأجر (العميل) لتجديد السجل</t>
  </si>
  <si>
    <t>تزويد الوسيط برقم السجل الصحيح</t>
  </si>
  <si>
    <t>مراجعة المستأجر (العميل) لتزويدنا برقم الوكالة</t>
  </si>
  <si>
    <t>ر</t>
  </si>
  <si>
    <t>مؤسسة ماجد عبدالله الظاهري</t>
  </si>
  <si>
    <t>المركز</t>
  </si>
  <si>
    <t xml:space="preserve">نسبة الزيادة </t>
  </si>
  <si>
    <t>ضريبة القيمة المضافة</t>
  </si>
  <si>
    <t>قيمة المبلغ المسدد</t>
  </si>
  <si>
    <t>ضعيف</t>
  </si>
  <si>
    <t>غير ملتزم في السداد، يحول المكتب الى مستودعات</t>
  </si>
  <si>
    <t>ماجد الظاهري</t>
  </si>
  <si>
    <t>يرغب بتسليم الوحدة</t>
  </si>
  <si>
    <t>مؤسسة عبدالمجيد للتجارة</t>
  </si>
  <si>
    <t>عقد إلكتروني منتهي</t>
  </si>
  <si>
    <t>تم الاستلام</t>
  </si>
  <si>
    <t>1/2</t>
  </si>
  <si>
    <t>2/3</t>
  </si>
  <si>
    <t>المرحلة الثالثة</t>
  </si>
  <si>
    <t>يوسف علوي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</si>
</sst>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"/>
    <numFmt numFmtId="165" formatCode="dd/mm/yyyy"/>
    <numFmt numFmtId="166" formatCode="_-* #,##0.00\ [$ر.س.‏-401]_-;\-* #,##0.00\ [$ر.س.‏-401]_-;_-* &quot;-&quot;??\ [$ر.س.‏-401]_-;_-@"/>
    <numFmt numFmtId="167" formatCode="_-* #,##0_-;\-* #,##0_-;_-* &quot;-&quot;??_-;_-@"/>
    <numFmt numFmtId="168" formatCode="yyyy/mm/dd"/>
    <numFmt numFmtId="169" formatCode="yyyy/m/d"/>
    <numFmt numFmtId="170" formatCode="mm/dd/yyyy"/>
    <numFmt numFmtId="171" formatCode="m/d/yyyy"/>
    <numFmt numFmtId="172" formatCode="m&quot;/&quot;d&quot;/&quot;yyyy"/>
    <numFmt numFmtId="177" formatCode="[$-F800]dddd\,\ mmmm\ dd\,\ yyyy"/>
  </numFmts>
  <fonts count="30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Calibri"/>
    </font>
    <font>
      <b/>
      <sz val="15"/>
      <color theme="1"/>
      <name val="Calibri"/>
    </font>
    <font>
      <sz val="11"/>
      <color theme="1"/>
      <name val="Calibri"/>
    </font>
    <font>
      <b/>
      <sz val="15"/>
      <color theme="0"/>
      <name val="Calibri"/>
    </font>
    <font>
      <sz val="11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0"/>
      <name val="Calibri"/>
    </font>
    <font>
      <b/>
      <sz val="20"/>
      <color theme="1"/>
      <name val="Calibri"/>
    </font>
    <font>
      <b/>
      <sz val="10"/>
      <color theme="1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12"/>
      <color rgb="FF000000"/>
      <name val="Calibri"/>
    </font>
    <font>
      <sz val="14"/>
      <color theme="1"/>
      <name val="Calibri"/>
    </font>
    <font>
      <sz val="14"/>
      <color rgb="FF000000"/>
      <name val="Calibri"/>
    </font>
    <font>
      <b/>
      <u/>
      <sz val="11"/>
      <color rgb="FF0000FF"/>
      <name val="Calibri"/>
    </font>
    <font>
      <b/>
      <sz val="11"/>
      <color rgb="FFFF0000"/>
      <name val="Calibri"/>
    </font>
    <font>
      <b/>
      <u/>
      <sz val="11"/>
      <color rgb="FF0000FF"/>
      <name val="Calibri"/>
    </font>
    <font>
      <sz val="12"/>
      <color rgb="FFFF000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00FF"/>
        <bgColor rgb="FFFF00FF"/>
      </patternFill>
    </fill>
    <fill>
      <patternFill patternType="solid">
        <fgColor rgb="FF980000"/>
        <bgColor rgb="FF980000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2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4" fontId="8" fillId="7" borderId="3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164" fontId="13" fillId="7" borderId="3" xfId="0" applyNumberFormat="1" applyFont="1" applyFill="1" applyBorder="1" applyAlignment="1">
      <alignment horizontal="center" vertical="center" wrapText="1"/>
    </xf>
    <xf numFmtId="164" fontId="8" fillId="7" borderId="13" xfId="0" applyNumberFormat="1" applyFont="1" applyFill="1" applyBorder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4" fontId="8" fillId="8" borderId="0" xfId="0" applyNumberFormat="1" applyFont="1" applyFill="1" applyAlignment="1">
      <alignment horizontal="center" vertical="center" wrapText="1"/>
    </xf>
    <xf numFmtId="164" fontId="8" fillId="9" borderId="0" xfId="0" applyNumberFormat="1" applyFont="1" applyFill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164" fontId="8" fillId="8" borderId="3" xfId="0" applyNumberFormat="1" applyFont="1" applyFill="1" applyBorder="1" applyAlignment="1">
      <alignment horizontal="center" vertical="center" wrapText="1"/>
    </xf>
    <xf numFmtId="164" fontId="14" fillId="10" borderId="3" xfId="0" applyNumberFormat="1" applyFont="1" applyFill="1" applyBorder="1" applyAlignment="1">
      <alignment horizontal="center" vertical="center" wrapText="1"/>
    </xf>
    <xf numFmtId="164" fontId="8" fillId="9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165" fontId="2" fillId="11" borderId="3" xfId="0" applyNumberFormat="1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1" fontId="15" fillId="4" borderId="3" xfId="0" applyNumberFormat="1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6" fontId="2" fillId="5" borderId="3" xfId="0" applyNumberFormat="1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vertical="center"/>
    </xf>
    <xf numFmtId="164" fontId="10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8" fontId="16" fillId="0" borderId="14" xfId="0" applyNumberFormat="1" applyFont="1" applyBorder="1" applyAlignment="1">
      <alignment horizontal="center" vertical="center"/>
    </xf>
    <xf numFmtId="1" fontId="16" fillId="0" borderId="14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64" fontId="10" fillId="4" borderId="3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vertical="center"/>
    </xf>
    <xf numFmtId="166" fontId="2" fillId="12" borderId="3" xfId="0" applyNumberFormat="1" applyFont="1" applyFill="1" applyBorder="1" applyAlignment="1">
      <alignment vertical="center"/>
    </xf>
    <xf numFmtId="165" fontId="2" fillId="0" borderId="3" xfId="0" applyNumberFormat="1" applyFont="1" applyBorder="1" applyAlignment="1">
      <alignment horizontal="center" vertical="center" wrapText="1"/>
    </xf>
    <xf numFmtId="168" fontId="16" fillId="4" borderId="14" xfId="0" applyNumberFormat="1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164" fontId="2" fillId="13" borderId="3" xfId="0" applyNumberFormat="1" applyFont="1" applyFill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center" vertical="center" wrapText="1"/>
    </xf>
    <xf numFmtId="12" fontId="8" fillId="4" borderId="3" xfId="0" applyNumberFormat="1" applyFont="1" applyFill="1" applyBorder="1" applyAlignment="1">
      <alignment horizontal="center" vertical="center" wrapText="1"/>
    </xf>
    <xf numFmtId="164" fontId="2" fillId="14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168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64" fontId="17" fillId="4" borderId="3" xfId="0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167" fontId="17" fillId="0" borderId="3" xfId="0" applyNumberFormat="1" applyFont="1" applyBorder="1" applyAlignment="1">
      <alignment horizontal="center" vertical="center"/>
    </xf>
    <xf numFmtId="169" fontId="15" fillId="0" borderId="14" xfId="0" applyNumberFormat="1" applyFont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1" fontId="15" fillId="4" borderId="14" xfId="0" applyNumberFormat="1" applyFont="1" applyFill="1" applyBorder="1" applyAlignment="1">
      <alignment horizontal="center" vertical="center"/>
    </xf>
    <xf numFmtId="1" fontId="15" fillId="0" borderId="14" xfId="0" applyNumberFormat="1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vertical="center"/>
    </xf>
    <xf numFmtId="167" fontId="10" fillId="2" borderId="3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vertical="center"/>
    </xf>
    <xf numFmtId="169" fontId="15" fillId="4" borderId="14" xfId="0" applyNumberFormat="1" applyFont="1" applyFill="1" applyBorder="1" applyAlignment="1">
      <alignment horizontal="center" vertical="center"/>
    </xf>
    <xf numFmtId="168" fontId="15" fillId="4" borderId="14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8" fontId="15" fillId="0" borderId="14" xfId="0" applyNumberFormat="1" applyFont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168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6" fontId="2" fillId="12" borderId="15" xfId="0" applyNumberFormat="1" applyFont="1" applyFill="1" applyBorder="1" applyAlignment="1">
      <alignment vertical="center"/>
    </xf>
    <xf numFmtId="1" fontId="7" fillId="0" borderId="14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horizontal="right" vertical="center"/>
    </xf>
    <xf numFmtId="0" fontId="17" fillId="3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4" fontId="2" fillId="12" borderId="3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1" fontId="18" fillId="0" borderId="14" xfId="0" applyNumberFormat="1" applyFont="1" applyBorder="1" applyAlignment="1">
      <alignment horizontal="center" vertical="center"/>
    </xf>
    <xf numFmtId="14" fontId="15" fillId="0" borderId="14" xfId="0" applyNumberFormat="1" applyFont="1" applyBorder="1" applyAlignment="1">
      <alignment horizontal="center" vertical="center"/>
    </xf>
    <xf numFmtId="12" fontId="2" fillId="4" borderId="3" xfId="0" applyNumberFormat="1" applyFont="1" applyFill="1" applyBorder="1" applyAlignment="1">
      <alignment horizontal="center" vertical="center" wrapText="1"/>
    </xf>
    <xf numFmtId="14" fontId="16" fillId="0" borderId="14" xfId="0" applyNumberFormat="1" applyFont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 wrapText="1"/>
    </xf>
    <xf numFmtId="12" fontId="15" fillId="0" borderId="14" xfId="0" applyNumberFormat="1" applyFont="1" applyBorder="1" applyAlignment="1">
      <alignment horizontal="center" vertical="center"/>
    </xf>
    <xf numFmtId="164" fontId="2" fillId="2" borderId="3" xfId="0" applyNumberFormat="1" applyFont="1" applyFill="1" applyBorder="1" applyAlignment="1">
      <alignment vertical="center"/>
    </xf>
    <xf numFmtId="164" fontId="19" fillId="0" borderId="3" xfId="0" applyNumberFormat="1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center" vertical="center"/>
    </xf>
    <xf numFmtId="171" fontId="2" fillId="2" borderId="3" xfId="0" applyNumberFormat="1" applyFont="1" applyFill="1" applyBorder="1" applyAlignment="1">
      <alignment horizontal="center" vertical="center"/>
    </xf>
    <xf numFmtId="168" fontId="20" fillId="0" borderId="14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164" fontId="15" fillId="3" borderId="3" xfId="0" applyNumberFormat="1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7" fontId="10" fillId="0" borderId="3" xfId="0" applyNumberFormat="1" applyFont="1" applyBorder="1" applyAlignment="1">
      <alignment vertical="center"/>
    </xf>
    <xf numFmtId="164" fontId="21" fillId="2" borderId="3" xfId="0" applyNumberFormat="1" applyFont="1" applyFill="1" applyBorder="1" applyAlignment="1">
      <alignment horizontal="center" vertical="center"/>
    </xf>
    <xf numFmtId="166" fontId="2" fillId="5" borderId="15" xfId="0" applyNumberFormat="1" applyFont="1" applyFill="1" applyBorder="1" applyAlignment="1">
      <alignment vertical="center"/>
    </xf>
    <xf numFmtId="171" fontId="15" fillId="0" borderId="14" xfId="0" applyNumberFormat="1" applyFont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164" fontId="17" fillId="2" borderId="3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horizontal="center" vertical="center"/>
    </xf>
    <xf numFmtId="170" fontId="2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4" fontId="2" fillId="16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/>
    </xf>
    <xf numFmtId="1" fontId="15" fillId="2" borderId="14" xfId="0" applyNumberFormat="1" applyFont="1" applyFill="1" applyBorder="1" applyAlignment="1">
      <alignment horizontal="center" vertical="center"/>
    </xf>
    <xf numFmtId="164" fontId="2" fillId="12" borderId="15" xfId="0" applyNumberFormat="1" applyFont="1" applyFill="1" applyBorder="1" applyAlignment="1">
      <alignment vertical="center"/>
    </xf>
    <xf numFmtId="165" fontId="2" fillId="4" borderId="3" xfId="0" applyNumberFormat="1" applyFont="1" applyFill="1" applyBorder="1" applyAlignment="1">
      <alignment horizontal="center" vertical="center" wrapText="1"/>
    </xf>
    <xf numFmtId="14" fontId="15" fillId="4" borderId="14" xfId="0" applyNumberFormat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170" fontId="15" fillId="0" borderId="3" xfId="0" applyNumberFormat="1" applyFont="1" applyBorder="1" applyAlignment="1">
      <alignment horizontal="center" vertical="center"/>
    </xf>
    <xf numFmtId="171" fontId="2" fillId="0" borderId="3" xfId="0" applyNumberFormat="1" applyFont="1" applyBorder="1" applyAlignment="1">
      <alignment horizontal="center" vertical="center"/>
    </xf>
    <xf numFmtId="164" fontId="2" fillId="7" borderId="3" xfId="0" applyNumberFormat="1" applyFont="1" applyFill="1" applyBorder="1" applyAlignment="1">
      <alignment horizontal="center" vertical="center"/>
    </xf>
    <xf numFmtId="169" fontId="16" fillId="0" borderId="14" xfId="0" applyNumberFormat="1" applyFont="1" applyBorder="1" applyAlignment="1">
      <alignment horizontal="center" vertical="center"/>
    </xf>
    <xf numFmtId="164" fontId="2" fillId="4" borderId="15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164" fontId="10" fillId="4" borderId="3" xfId="0" applyNumberFormat="1" applyFont="1" applyFill="1" applyBorder="1" applyAlignment="1">
      <alignment vertical="center"/>
    </xf>
    <xf numFmtId="165" fontId="15" fillId="0" borderId="3" xfId="0" applyNumberFormat="1" applyFont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/>
    </xf>
    <xf numFmtId="164" fontId="15" fillId="4" borderId="3" xfId="0" applyNumberFormat="1" applyFont="1" applyFill="1" applyBorder="1" applyAlignment="1">
      <alignment vertical="center"/>
    </xf>
    <xf numFmtId="164" fontId="15" fillId="0" borderId="3" xfId="0" applyNumberFormat="1" applyFont="1" applyBorder="1" applyAlignment="1">
      <alignment vertical="center"/>
    </xf>
    <xf numFmtId="166" fontId="15" fillId="5" borderId="15" xfId="0" applyNumberFormat="1" applyFont="1" applyFill="1" applyBorder="1" applyAlignment="1">
      <alignment vertical="center"/>
    </xf>
    <xf numFmtId="164" fontId="15" fillId="2" borderId="3" xfId="0" applyNumberFormat="1" applyFont="1" applyFill="1" applyBorder="1" applyAlignment="1">
      <alignment horizontal="center" vertical="center"/>
    </xf>
    <xf numFmtId="164" fontId="20" fillId="2" borderId="3" xfId="0" applyNumberFormat="1" applyFont="1" applyFill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/>
    </xf>
    <xf numFmtId="168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17" fillId="0" borderId="16" xfId="0" applyNumberFormat="1" applyFont="1" applyBorder="1" applyAlignment="1">
      <alignment horizontal="center" vertical="center"/>
    </xf>
    <xf numFmtId="167" fontId="2" fillId="2" borderId="16" xfId="0" applyNumberFormat="1" applyFont="1" applyFill="1" applyBorder="1" applyAlignment="1">
      <alignment vertical="center"/>
    </xf>
    <xf numFmtId="170" fontId="15" fillId="0" borderId="14" xfId="0" applyNumberFormat="1" applyFont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164" fontId="2" fillId="15" borderId="3" xfId="0" applyNumberFormat="1" applyFont="1" applyFill="1" applyBorder="1" applyAlignment="1">
      <alignment horizontal="center" vertical="center"/>
    </xf>
    <xf numFmtId="164" fontId="2" fillId="12" borderId="14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vertical="center"/>
    </xf>
    <xf numFmtId="172" fontId="2" fillId="2" borderId="3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vertical="center"/>
    </xf>
    <xf numFmtId="167" fontId="2" fillId="0" borderId="17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167" fontId="8" fillId="0" borderId="3" xfId="0" applyNumberFormat="1" applyFont="1" applyBorder="1" applyAlignment="1">
      <alignment vertical="center" wrapText="1"/>
    </xf>
    <xf numFmtId="167" fontId="8" fillId="17" borderId="3" xfId="0" applyNumberFormat="1" applyFont="1" applyFill="1" applyBorder="1" applyAlignment="1">
      <alignment vertical="center" wrapText="1"/>
    </xf>
    <xf numFmtId="167" fontId="8" fillId="17" borderId="15" xfId="0" applyNumberFormat="1" applyFont="1" applyFill="1" applyBorder="1" applyAlignment="1">
      <alignment horizontal="center" vertical="center" wrapText="1"/>
    </xf>
    <xf numFmtId="167" fontId="8" fillId="17" borderId="15" xfId="0" applyNumberFormat="1" applyFont="1" applyFill="1" applyBorder="1" applyAlignment="1">
      <alignment vertical="center" wrapText="1"/>
    </xf>
    <xf numFmtId="167" fontId="8" fillId="2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166" fontId="4" fillId="4" borderId="0" xfId="0" applyNumberFormat="1" applyFont="1" applyFill="1" applyAlignment="1">
      <alignment vertical="center" wrapText="1"/>
    </xf>
    <xf numFmtId="164" fontId="4" fillId="4" borderId="0" xfId="0" applyNumberFormat="1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164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9" fontId="2" fillId="4" borderId="3" xfId="1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164" fontId="7" fillId="7" borderId="8" xfId="0" applyNumberFormat="1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164" fontId="8" fillId="7" borderId="11" xfId="0" applyNumberFormat="1" applyFont="1" applyFill="1" applyBorder="1" applyAlignment="1">
      <alignment horizontal="center" vertical="center" wrapText="1"/>
    </xf>
    <xf numFmtId="164" fontId="8" fillId="8" borderId="0" xfId="0" applyNumberFormat="1" applyFont="1" applyFill="1" applyAlignment="1">
      <alignment horizontal="center" vertical="center" wrapText="1"/>
    </xf>
    <xf numFmtId="0" fontId="0" fillId="0" borderId="0" xfId="0"/>
    <xf numFmtId="166" fontId="2" fillId="5" borderId="16" xfId="0" applyNumberFormat="1" applyFont="1" applyFill="1" applyBorder="1" applyAlignment="1">
      <alignment vertical="center"/>
    </xf>
    <xf numFmtId="164" fontId="2" fillId="12" borderId="17" xfId="0" applyNumberFormat="1" applyFont="1" applyFill="1" applyBorder="1" applyAlignment="1">
      <alignment vertical="center"/>
    </xf>
    <xf numFmtId="177" fontId="2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64" fontId="25" fillId="0" borderId="3" xfId="0" applyNumberFormat="1" applyFont="1" applyBorder="1" applyAlignment="1">
      <alignment horizontal="center" vertical="center"/>
    </xf>
    <xf numFmtId="171" fontId="25" fillId="2" borderId="3" xfId="0" applyNumberFormat="1" applyFont="1" applyFill="1" applyBorder="1" applyAlignment="1">
      <alignment horizontal="center" vertical="center"/>
    </xf>
    <xf numFmtId="164" fontId="26" fillId="8" borderId="3" xfId="0" applyNumberFormat="1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164" fontId="25" fillId="2" borderId="3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" fontId="15" fillId="0" borderId="15" xfId="0" applyNumberFormat="1" applyFont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49" fontId="25" fillId="4" borderId="3" xfId="0" applyNumberFormat="1" applyFont="1" applyFill="1" applyBorder="1" applyAlignment="1">
      <alignment horizontal="center" vertical="center" wrapText="1"/>
    </xf>
    <xf numFmtId="14" fontId="15" fillId="0" borderId="15" xfId="0" applyNumberFormat="1" applyFont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 wrapText="1"/>
    </xf>
  </cellXfs>
  <cellStyles count="2">
    <cellStyle name="Percent" xfId="1" builtinId="5"/>
    <cellStyle name="عادي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5Mys7B3Cb72EYIRxF-nZqHsf04sDSrRj/view?usp=drive_link" TargetMode="External"/><Relationship Id="rId18" Type="http://schemas.openxmlformats.org/officeDocument/2006/relationships/hyperlink" Target="https://drive.google.com/file/d/1-BTexfsRLEb1_C6-a83oNzR_kIko-P6r/view?usp=drive_link" TargetMode="External"/><Relationship Id="rId26" Type="http://schemas.openxmlformats.org/officeDocument/2006/relationships/hyperlink" Target="https://drive.google.com/file/d/15TujoNvDp1Hzrb3QRXFV7RcrnGcReljS/view?usp=drive_link" TargetMode="External"/><Relationship Id="rId39" Type="http://schemas.openxmlformats.org/officeDocument/2006/relationships/hyperlink" Target="https://drive.google.com/file/d/1mhN0b2x724mGIt61GtO8yzm9HyQyQUbT/view?usp=drive_link" TargetMode="External"/><Relationship Id="rId21" Type="http://schemas.openxmlformats.org/officeDocument/2006/relationships/hyperlink" Target="https://drive.google.com/file/d/1nzDFXn_5lTwKcGPZiL5vkpcUOKbpuTy_/view?usp=drive_link" TargetMode="External"/><Relationship Id="rId34" Type="http://schemas.openxmlformats.org/officeDocument/2006/relationships/hyperlink" Target="https://drive.google.com/file/d/1SJ4JGv9LnpF-_VkCMZxrtYDMn650TZK8/view?usp=drive_link" TargetMode="External"/><Relationship Id="rId42" Type="http://schemas.openxmlformats.org/officeDocument/2006/relationships/hyperlink" Target="https://drive.google.com/file/d/10NL5doir0PKwE_iw70jt4cB7OzkZswZP/view?usp=drive_link" TargetMode="External"/><Relationship Id="rId7" Type="http://schemas.openxmlformats.org/officeDocument/2006/relationships/hyperlink" Target="https://drive.google.com/file/d/1bia1FEDnW0qdFqi15bqetvIC2OVXHcEZ/view?usp=drive_link" TargetMode="External"/><Relationship Id="rId2" Type="http://schemas.openxmlformats.org/officeDocument/2006/relationships/hyperlink" Target="https://drive.google.com/file/d/1BaErFaRWjmm0NYCThlKd5rOY5B2sUepe/view?usp=drive_link" TargetMode="External"/><Relationship Id="rId16" Type="http://schemas.openxmlformats.org/officeDocument/2006/relationships/hyperlink" Target="https://drive.google.com/file/d/1mIQ7U07NOxUBSpmtUqa8e2fkeiF4_KVM/view?usp=drive_link" TargetMode="External"/><Relationship Id="rId20" Type="http://schemas.openxmlformats.org/officeDocument/2006/relationships/hyperlink" Target="https://drive.google.com/file/d/1306tjjyiWLX9w4SYNQDzznfG68mkejnE/view?usp=drive_link" TargetMode="External"/><Relationship Id="rId29" Type="http://schemas.openxmlformats.org/officeDocument/2006/relationships/hyperlink" Target="https://drive.google.com/file/d/14PYVX63ryBS1w8iU-vwFNbB4ap3t6Si5/view?usp=drive_link" TargetMode="External"/><Relationship Id="rId41" Type="http://schemas.openxmlformats.org/officeDocument/2006/relationships/hyperlink" Target="https://drive.google.com/file/d/1dhISu79goiK1Qy5yNEeGtLPoI9_8euYf/view?usp=drive_link" TargetMode="External"/><Relationship Id="rId1" Type="http://schemas.openxmlformats.org/officeDocument/2006/relationships/hyperlink" Target="https://drive.google.com/file/d/1OdporUffG6oqYnQDtR4A2tYpUIUq696N/view?usp=drive_link" TargetMode="External"/><Relationship Id="rId6" Type="http://schemas.openxmlformats.org/officeDocument/2006/relationships/hyperlink" Target="https://drive.google.com/file/d/1mjru-Ez5k8nAqzi-9gFhITxeF9GhoYnk/view?usp=drive_link" TargetMode="External"/><Relationship Id="rId11" Type="http://schemas.openxmlformats.org/officeDocument/2006/relationships/hyperlink" Target="https://drive.google.com/file/d/1_MoG6zGJXYb5iCj2zWkTolOcnsWCD6gH/view?usp=drive_link" TargetMode="External"/><Relationship Id="rId24" Type="http://schemas.openxmlformats.org/officeDocument/2006/relationships/hyperlink" Target="https://drive.google.com/file/d/1gJQ2XwsFFQ8fgtvFNcvUqVBZWosqWWnv/view?usp=drive_link" TargetMode="External"/><Relationship Id="rId32" Type="http://schemas.openxmlformats.org/officeDocument/2006/relationships/hyperlink" Target="https://drive.google.com/file/d/1eX40U4G7mKyt50wWMUDU50cQIT1FfUbH/view?usp=drive_link" TargetMode="External"/><Relationship Id="rId37" Type="http://schemas.openxmlformats.org/officeDocument/2006/relationships/hyperlink" Target="https://drive.google.com/file/d/1DH9QuZq1FJDZmKak-Fta5H5Z5IoECrhW/view?usp=drive_link" TargetMode="External"/><Relationship Id="rId40" Type="http://schemas.openxmlformats.org/officeDocument/2006/relationships/hyperlink" Target="https://drive.google.com/file/d/186u27uLGHscs-Hc8A9JK-GUprZ7pcVBQ/view?usp=drive_link" TargetMode="External"/><Relationship Id="rId5" Type="http://schemas.openxmlformats.org/officeDocument/2006/relationships/hyperlink" Target="https://drive.google.com/file/d/1ySAU1_fCSDb-56Hk8nCUPuVFXkuOWP_M/view?usp=drive_link" TargetMode="External"/><Relationship Id="rId15" Type="http://schemas.openxmlformats.org/officeDocument/2006/relationships/hyperlink" Target="https://drive.google.com/file/d/1LUj-Q_8xhoKgczdmdzVuQ57W1R2kFsuG/view?usp=drive_link" TargetMode="External"/><Relationship Id="rId23" Type="http://schemas.openxmlformats.org/officeDocument/2006/relationships/hyperlink" Target="https://drive.google.com/file/d/1k523bfms7-0f_qfxpfe_h0TpBRSqOUts/view?usp=drive_link" TargetMode="External"/><Relationship Id="rId28" Type="http://schemas.openxmlformats.org/officeDocument/2006/relationships/hyperlink" Target="https://drive.google.com/file/d/1ndMRVYNeWKcwyaBKvSFtuwIusWn4pKVk/view?usp=drive_link" TargetMode="External"/><Relationship Id="rId36" Type="http://schemas.openxmlformats.org/officeDocument/2006/relationships/hyperlink" Target="https://drive.google.com/file/d/1GkwhNvjBXmOZEbG5muztjE278yTZ4jH8/view?usp=drive_link" TargetMode="External"/><Relationship Id="rId10" Type="http://schemas.openxmlformats.org/officeDocument/2006/relationships/hyperlink" Target="https://drive.google.com/file/d/1BKg6e1Ma7MPN_5KtAuGCZ5rTt-KE3ift/view?usp=drive_link" TargetMode="External"/><Relationship Id="rId19" Type="http://schemas.openxmlformats.org/officeDocument/2006/relationships/hyperlink" Target="https://drive.google.com/file/d/1OZ_zec2_wkUqLq-zDeVLcb7FE7TOTkIm/view?usp=drive_link" TargetMode="External"/><Relationship Id="rId31" Type="http://schemas.openxmlformats.org/officeDocument/2006/relationships/hyperlink" Target="https://drive.google.com/file/d/13EN2a7BItYXw1APT_U2YRhM9IekBVT0r/view?usp=drive_link" TargetMode="External"/><Relationship Id="rId4" Type="http://schemas.openxmlformats.org/officeDocument/2006/relationships/hyperlink" Target="https://drive.google.com/file/d/1OfJqgW1xQE0ET1PdseOtGvT5DaBDeFJN/view?usp=drive_link" TargetMode="External"/><Relationship Id="rId9" Type="http://schemas.openxmlformats.org/officeDocument/2006/relationships/hyperlink" Target="https://drive.google.com/file/d/1FxFBc_1ht-lrsSs7TsVvV4fa7YK-LvCe/view?usp=drive_link" TargetMode="External"/><Relationship Id="rId14" Type="http://schemas.openxmlformats.org/officeDocument/2006/relationships/hyperlink" Target="https://drive.google.com/file/d/1bjFmxbhgPqxDwP7RnKQ5Tsrlnwa_hcm8/view?usp=drive_link" TargetMode="External"/><Relationship Id="rId22" Type="http://schemas.openxmlformats.org/officeDocument/2006/relationships/hyperlink" Target="https://drive.google.com/file/d/1CSwpJ8TuQgpmR7OEBn2BJoHwyXMt_n8x/view?usp=drive_link" TargetMode="External"/><Relationship Id="rId27" Type="http://schemas.openxmlformats.org/officeDocument/2006/relationships/hyperlink" Target="https://drive.google.com/file/d/1JzlU2PR5kvxEQIuog9cxdvux8bHf96W1/view?usp=drive_link" TargetMode="External"/><Relationship Id="rId30" Type="http://schemas.openxmlformats.org/officeDocument/2006/relationships/hyperlink" Target="https://drive.google.com/file/d/130-DZyqpNLtZeMzU4wRWrdYfbBplylVf/view?usp=drive_link" TargetMode="External"/><Relationship Id="rId35" Type="http://schemas.openxmlformats.org/officeDocument/2006/relationships/hyperlink" Target="https://drive.google.com/file/d/1o04WdeZs-9BPMwOatpx6bB7e8kcpBzEN/view?usp=drive_link" TargetMode="External"/><Relationship Id="rId43" Type="http://schemas.openxmlformats.org/officeDocument/2006/relationships/hyperlink" Target="https://drive.google.com/file/d/1a0ZHvAgWgA48pB_OOWxs2onN_Hfn7ypP/view?usp=drive_link" TargetMode="External"/><Relationship Id="rId8" Type="http://schemas.openxmlformats.org/officeDocument/2006/relationships/hyperlink" Target="https://drive.google.com/file/d/14fEUqAR4jjecreKgMcrB19uQhYHYIfsv/view?usp=drive_link" TargetMode="External"/><Relationship Id="rId3" Type="http://schemas.openxmlformats.org/officeDocument/2006/relationships/hyperlink" Target="https://drive.google.com/file/d/1devp5HWi4l6zXXH4GsnWsgmq-MltlDtD/view?usp=drive_link" TargetMode="External"/><Relationship Id="rId12" Type="http://schemas.openxmlformats.org/officeDocument/2006/relationships/hyperlink" Target="https://drive.google.com/file/d/1mw0CvvRHwMTMhfo2rIyKVRMZ5QD85aIQ/view?usp=drive_link" TargetMode="External"/><Relationship Id="rId17" Type="http://schemas.openxmlformats.org/officeDocument/2006/relationships/hyperlink" Target="https://drive.google.com/file/d/1yniF5wexiAoMaXAfkHK7AUZkCFTG3NSz/view?usp=drive_link" TargetMode="External"/><Relationship Id="rId25" Type="http://schemas.openxmlformats.org/officeDocument/2006/relationships/hyperlink" Target="https://drive.google.com/file/d/1gcOBY31VoLBuzo2POuvIZGbYw4VI13Xy/view?usp=drive_link" TargetMode="External"/><Relationship Id="rId33" Type="http://schemas.openxmlformats.org/officeDocument/2006/relationships/hyperlink" Target="https://drive.google.com/file/d/1LDGqxEFGd7QK4a8mAquMTGoupfgPvZ0M/view?usp=drive_link" TargetMode="External"/><Relationship Id="rId38" Type="http://schemas.openxmlformats.org/officeDocument/2006/relationships/hyperlink" Target="https://drive.google.com/file/d/1gnG61gT2Gm6o3aarN8ZdQebtbOfSC2w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9"/>
  </sheetPr>
  <dimension ref="A1:BK1004"/>
  <sheetViews>
    <sheetView rightToLeft="1" tabSelected="1" zoomScale="55" zoomScaleNormal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381" sqref="R381"/>
    </sheetView>
  </sheetViews>
  <sheetFormatPr defaultColWidth="14.42578125" defaultRowHeight="15" customHeight="1" x14ac:dyDescent="0.25"/>
  <cols>
    <col min="1" max="1" width="6.140625" customWidth="1"/>
    <col min="2" max="2" width="25" customWidth="1"/>
    <col min="3" max="3" width="16.7109375" customWidth="1"/>
    <col min="4" max="4" width="44.140625" customWidth="1"/>
    <col min="5" max="5" width="27" customWidth="1"/>
    <col min="6" max="6" width="28" customWidth="1"/>
    <col min="7" max="7" width="16.28515625" customWidth="1"/>
    <col min="8" max="8" width="11.28515625" customWidth="1"/>
    <col min="9" max="9" width="10.140625" customWidth="1"/>
    <col min="10" max="10" width="14.5703125" customWidth="1"/>
    <col min="11" max="11" width="33.42578125" customWidth="1"/>
    <col min="12" max="12" width="19.85546875" customWidth="1"/>
    <col min="13" max="13" width="22.7109375" customWidth="1"/>
    <col min="14" max="14" width="18.28515625" customWidth="1"/>
    <col min="15" max="15" width="20" customWidth="1"/>
    <col min="16" max="16" width="19.42578125" customWidth="1"/>
    <col min="17" max="17" width="10.28515625" customWidth="1"/>
    <col min="18" max="18" width="12.140625" customWidth="1"/>
    <col min="19" max="19" width="13.5703125" customWidth="1"/>
    <col min="20" max="20" width="21.5703125" customWidth="1"/>
    <col min="21" max="21" width="22" customWidth="1"/>
    <col min="22" max="23" width="19.140625" customWidth="1"/>
    <col min="24" max="24" width="21.5703125" customWidth="1"/>
    <col min="25" max="25" width="16.140625" customWidth="1"/>
    <col min="26" max="26" width="11.7109375" customWidth="1"/>
    <col min="27" max="27" width="11.85546875" customWidth="1"/>
    <col min="28" max="28" width="11" customWidth="1"/>
    <col min="29" max="29" width="14.42578125" customWidth="1"/>
    <col min="30" max="30" width="16.42578125" customWidth="1"/>
    <col min="31" max="31" width="16.85546875" customWidth="1"/>
    <col min="32" max="48" width="19.42578125" customWidth="1"/>
    <col min="49" max="49" width="24.140625" customWidth="1"/>
    <col min="50" max="50" width="14.42578125" customWidth="1"/>
    <col min="51" max="51" width="24.85546875" customWidth="1"/>
    <col min="52" max="52" width="20.5703125" customWidth="1"/>
    <col min="53" max="54" width="29.28515625" customWidth="1"/>
    <col min="55" max="55" width="52.140625" customWidth="1"/>
    <col min="56" max="60" width="18.85546875" customWidth="1"/>
    <col min="61" max="63" width="29.28515625" customWidth="1"/>
  </cols>
  <sheetData>
    <row r="1" spans="1:63" ht="39" customHeight="1" x14ac:dyDescent="0.25">
      <c r="A1" s="1" t="s">
        <v>0</v>
      </c>
      <c r="B1" s="2" t="s">
        <v>0</v>
      </c>
      <c r="C1" s="3"/>
      <c r="D1" s="4"/>
      <c r="E1" s="5"/>
      <c r="F1" s="5"/>
      <c r="G1" s="6"/>
      <c r="H1" s="7"/>
      <c r="I1" s="8"/>
      <c r="J1" s="8"/>
      <c r="K1" s="8"/>
      <c r="L1" s="8"/>
      <c r="M1" s="8"/>
      <c r="N1" s="8"/>
      <c r="O1" s="8"/>
      <c r="P1" s="203" t="s">
        <v>1</v>
      </c>
      <c r="Q1" s="204"/>
      <c r="R1" s="205"/>
      <c r="S1" s="2"/>
      <c r="T1" s="8"/>
      <c r="U1" s="8"/>
      <c r="V1" s="8"/>
      <c r="W1" s="8"/>
      <c r="X1" s="206" t="s">
        <v>2</v>
      </c>
      <c r="Y1" s="207"/>
      <c r="Z1" s="207"/>
      <c r="AA1" s="208"/>
      <c r="AB1" s="10" t="s">
        <v>3</v>
      </c>
      <c r="AC1" s="209" t="s">
        <v>4</v>
      </c>
      <c r="AD1" s="205"/>
      <c r="AE1" s="11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3"/>
      <c r="AY1" s="13"/>
      <c r="AZ1" s="14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</row>
    <row r="2" spans="1:63" ht="54" customHeight="1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  <c r="Q2" s="18"/>
      <c r="R2" s="18"/>
      <c r="S2" s="19"/>
      <c r="T2" s="20"/>
      <c r="U2" s="20"/>
      <c r="V2" s="20"/>
      <c r="W2" s="20"/>
      <c r="X2" s="21"/>
      <c r="Y2" s="21"/>
      <c r="Z2" s="22"/>
      <c r="AA2" s="22"/>
      <c r="AB2" s="22"/>
      <c r="AC2" s="23"/>
      <c r="AD2" s="23"/>
      <c r="AE2" s="24"/>
      <c r="AF2" s="210" t="s">
        <v>5</v>
      </c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5"/>
      <c r="AY2" s="25"/>
      <c r="AZ2" s="25"/>
      <c r="BA2" s="25"/>
      <c r="BB2" s="210" t="s">
        <v>6</v>
      </c>
      <c r="BC2" s="211"/>
      <c r="BD2" s="26"/>
      <c r="BE2" s="26"/>
      <c r="BF2" s="26"/>
      <c r="BG2" s="26"/>
      <c r="BH2" s="26"/>
      <c r="BI2" s="26"/>
      <c r="BJ2" s="26"/>
      <c r="BK2" s="26"/>
    </row>
    <row r="3" spans="1:63" ht="54" customHeight="1" x14ac:dyDescent="0.25">
      <c r="A3" s="27" t="s">
        <v>7</v>
      </c>
      <c r="B3" s="28" t="s">
        <v>8</v>
      </c>
      <c r="C3" s="28" t="s">
        <v>9</v>
      </c>
      <c r="D3" s="28" t="s">
        <v>10</v>
      </c>
      <c r="E3" s="28" t="s">
        <v>11</v>
      </c>
      <c r="F3" s="28" t="s">
        <v>12</v>
      </c>
      <c r="G3" s="28" t="s">
        <v>13</v>
      </c>
      <c r="H3" s="28" t="s">
        <v>14</v>
      </c>
      <c r="I3" s="28" t="s">
        <v>15</v>
      </c>
      <c r="J3" s="28" t="s">
        <v>16</v>
      </c>
      <c r="K3" s="28" t="s">
        <v>17</v>
      </c>
      <c r="L3" s="28" t="s">
        <v>18</v>
      </c>
      <c r="M3" s="28" t="s">
        <v>19</v>
      </c>
      <c r="N3" s="28" t="s">
        <v>20</v>
      </c>
      <c r="O3" s="28" t="s">
        <v>21</v>
      </c>
      <c r="P3" s="29" t="s">
        <v>22</v>
      </c>
      <c r="Q3" s="29" t="s">
        <v>23</v>
      </c>
      <c r="R3" s="29" t="s">
        <v>24</v>
      </c>
      <c r="S3" s="30" t="s">
        <v>25</v>
      </c>
      <c r="T3" s="31" t="s">
        <v>763</v>
      </c>
      <c r="U3" s="31" t="s">
        <v>26</v>
      </c>
      <c r="V3" s="31" t="s">
        <v>27</v>
      </c>
      <c r="W3" s="31" t="s">
        <v>764</v>
      </c>
      <c r="X3" s="21" t="s">
        <v>28</v>
      </c>
      <c r="Y3" s="21" t="s">
        <v>29</v>
      </c>
      <c r="Z3" s="22" t="s">
        <v>30</v>
      </c>
      <c r="AA3" s="22" t="s">
        <v>31</v>
      </c>
      <c r="AB3" s="22" t="s">
        <v>32</v>
      </c>
      <c r="AC3" s="10" t="s">
        <v>33</v>
      </c>
      <c r="AD3" s="10" t="s">
        <v>34</v>
      </c>
      <c r="AE3" s="10" t="s">
        <v>35</v>
      </c>
      <c r="AF3" s="32" t="s">
        <v>36</v>
      </c>
      <c r="AG3" s="32" t="s">
        <v>37</v>
      </c>
      <c r="AH3" s="32" t="s">
        <v>38</v>
      </c>
      <c r="AI3" s="32" t="s">
        <v>39</v>
      </c>
      <c r="AJ3" s="32" t="s">
        <v>40</v>
      </c>
      <c r="AK3" s="32" t="s">
        <v>41</v>
      </c>
      <c r="AL3" s="218" t="s">
        <v>765</v>
      </c>
      <c r="AM3" s="32" t="s">
        <v>42</v>
      </c>
      <c r="AN3" s="32" t="s">
        <v>43</v>
      </c>
      <c r="AO3" s="32" t="s">
        <v>38</v>
      </c>
      <c r="AP3" s="32" t="s">
        <v>44</v>
      </c>
      <c r="AQ3" s="218" t="s">
        <v>765</v>
      </c>
      <c r="AR3" s="32" t="s">
        <v>41</v>
      </c>
      <c r="AS3" s="32" t="s">
        <v>45</v>
      </c>
      <c r="AT3" s="32" t="s">
        <v>46</v>
      </c>
      <c r="AU3" s="32" t="s">
        <v>38</v>
      </c>
      <c r="AV3" s="32" t="s">
        <v>47</v>
      </c>
      <c r="AW3" s="33" t="s">
        <v>48</v>
      </c>
      <c r="AX3" s="32" t="s">
        <v>49</v>
      </c>
      <c r="AY3" s="32" t="s">
        <v>50</v>
      </c>
      <c r="AZ3" s="32" t="s">
        <v>51</v>
      </c>
      <c r="BA3" s="32" t="s">
        <v>52</v>
      </c>
      <c r="BB3" s="32" t="s">
        <v>53</v>
      </c>
      <c r="BC3" s="32" t="s">
        <v>54</v>
      </c>
      <c r="BD3" s="34" t="s">
        <v>55</v>
      </c>
      <c r="BE3" s="34" t="s">
        <v>56</v>
      </c>
      <c r="BF3" s="34" t="s">
        <v>57</v>
      </c>
      <c r="BG3" s="34" t="s">
        <v>58</v>
      </c>
      <c r="BH3" s="34" t="s">
        <v>59</v>
      </c>
      <c r="BI3" s="34" t="s">
        <v>60</v>
      </c>
      <c r="BJ3" s="34" t="s">
        <v>61</v>
      </c>
      <c r="BK3" s="34" t="s">
        <v>62</v>
      </c>
    </row>
    <row r="4" spans="1:63" ht="34.5" hidden="1" customHeight="1" x14ac:dyDescent="0.25">
      <c r="A4" s="35" t="e">
        <f t="shared" ref="A4:A49" si="0">1+A3</f>
        <v>#VALUE!</v>
      </c>
      <c r="B4" s="36" t="s">
        <v>63</v>
      </c>
      <c r="C4" s="35"/>
      <c r="D4" s="37"/>
      <c r="E4" s="37" t="b">
        <v>0</v>
      </c>
      <c r="F4" s="37"/>
      <c r="G4" s="38"/>
      <c r="H4" s="35">
        <v>1</v>
      </c>
      <c r="I4" s="36">
        <v>99</v>
      </c>
      <c r="J4" s="39"/>
      <c r="K4" s="40"/>
      <c r="L4" s="41"/>
      <c r="M4" s="37"/>
      <c r="N4" s="35" t="s">
        <v>64</v>
      </c>
      <c r="O4" s="42" t="s">
        <v>65</v>
      </c>
      <c r="P4" s="35">
        <v>7.8</v>
      </c>
      <c r="Q4" s="35">
        <v>6.7</v>
      </c>
      <c r="R4" s="35">
        <f>P4*Q4</f>
        <v>52.26</v>
      </c>
      <c r="S4" s="43">
        <v>22000</v>
      </c>
      <c r="T4" s="44"/>
      <c r="U4" s="45"/>
      <c r="V4" s="46">
        <v>28000</v>
      </c>
      <c r="W4" s="46"/>
      <c r="X4" s="47">
        <v>0</v>
      </c>
      <c r="Y4" s="48">
        <f t="shared" ref="Y4:Y21" si="1">X4/1.15</f>
        <v>0</v>
      </c>
      <c r="Z4" s="49">
        <v>0</v>
      </c>
      <c r="AA4" s="50">
        <f t="shared" ref="AA4:AA21" si="2">Z4/1.15</f>
        <v>0</v>
      </c>
      <c r="AB4" s="50"/>
      <c r="AC4" s="51">
        <v>25300</v>
      </c>
      <c r="AD4" s="52">
        <f>S4*1.15-AC4</f>
        <v>0</v>
      </c>
      <c r="AE4" s="53">
        <f>S4*1.15+X4-AB4-AC4</f>
        <v>0</v>
      </c>
      <c r="AF4" s="52" t="b">
        <v>1</v>
      </c>
      <c r="AG4" s="52" t="s">
        <v>67</v>
      </c>
      <c r="AH4" s="52">
        <v>19550</v>
      </c>
      <c r="AI4" s="52" t="s">
        <v>68</v>
      </c>
      <c r="AJ4" s="54" t="s">
        <v>68</v>
      </c>
      <c r="AK4" s="52"/>
      <c r="AL4" s="52"/>
      <c r="AM4" s="52" t="b">
        <v>0</v>
      </c>
      <c r="AN4" s="52"/>
      <c r="AO4" s="52"/>
      <c r="AP4" s="52"/>
      <c r="AQ4" s="52"/>
      <c r="AR4" s="52"/>
      <c r="AS4" s="52" t="b">
        <v>0</v>
      </c>
      <c r="AT4" s="52"/>
      <c r="AU4" s="52"/>
      <c r="AV4" s="52"/>
      <c r="AW4" s="52"/>
      <c r="AX4" s="52" t="str">
        <f t="shared" ref="AX4:AX21" si="3">IF(AE4&lt;=0,"ملتزم","غير ملتزم")</f>
        <v>ملتزم</v>
      </c>
      <c r="AY4" s="52" t="s">
        <v>69</v>
      </c>
      <c r="AZ4" s="43" t="s">
        <v>70</v>
      </c>
      <c r="BA4" s="55" t="s">
        <v>71</v>
      </c>
      <c r="BB4" s="55"/>
      <c r="BC4" s="55"/>
      <c r="BD4" s="52"/>
      <c r="BE4" s="52"/>
      <c r="BF4" s="52"/>
      <c r="BG4" s="52"/>
      <c r="BH4" s="52"/>
      <c r="BI4" s="54" t="s">
        <v>72</v>
      </c>
      <c r="BJ4" s="54">
        <f>(U4+V4+AE4)-BD4-BE4</f>
        <v>28000</v>
      </c>
      <c r="BK4" s="52"/>
    </row>
    <row r="5" spans="1:63" ht="34.5" hidden="1" customHeight="1" x14ac:dyDescent="0.25">
      <c r="A5" s="35" t="e">
        <f t="shared" si="0"/>
        <v>#VALUE!</v>
      </c>
      <c r="B5" s="56" t="s">
        <v>63</v>
      </c>
      <c r="C5" s="57"/>
      <c r="D5" s="37"/>
      <c r="E5" s="37" t="b">
        <v>0</v>
      </c>
      <c r="F5" s="37"/>
      <c r="G5" s="38"/>
      <c r="H5" s="42">
        <v>1</v>
      </c>
      <c r="I5" s="58">
        <v>22</v>
      </c>
      <c r="J5" s="59"/>
      <c r="K5" s="60"/>
      <c r="L5" s="60"/>
      <c r="M5" s="61"/>
      <c r="N5" s="35" t="s">
        <v>73</v>
      </c>
      <c r="O5" s="42" t="s">
        <v>74</v>
      </c>
      <c r="P5" s="35"/>
      <c r="Q5" s="35"/>
      <c r="R5" s="35">
        <v>17</v>
      </c>
      <c r="S5" s="62">
        <v>25000</v>
      </c>
      <c r="T5" s="44">
        <f t="shared" ref="T5:T13" si="4">S5*10/100</f>
        <v>2500</v>
      </c>
      <c r="U5" s="63">
        <f t="shared" ref="U5:U13" si="5">S5+T5</f>
        <v>27500</v>
      </c>
      <c r="V5" s="64"/>
      <c r="W5" s="64"/>
      <c r="X5" s="47"/>
      <c r="Y5" s="48">
        <f t="shared" si="1"/>
        <v>0</v>
      </c>
      <c r="Z5" s="49">
        <v>0</v>
      </c>
      <c r="AA5" s="50">
        <f t="shared" si="2"/>
        <v>0</v>
      </c>
      <c r="AB5" s="50"/>
      <c r="AC5" s="51">
        <v>28750</v>
      </c>
      <c r="AD5" s="52">
        <f>S5*1.15-AC5</f>
        <v>0</v>
      </c>
      <c r="AE5" s="53">
        <f>S5*1.15+X5-AB5-AC5</f>
        <v>0</v>
      </c>
      <c r="AF5" s="52" t="b">
        <v>0</v>
      </c>
      <c r="AG5" s="52"/>
      <c r="AH5" s="52"/>
      <c r="AI5" s="52"/>
      <c r="AJ5" s="52"/>
      <c r="AK5" s="52"/>
      <c r="AL5" s="52"/>
      <c r="AM5" s="52" t="b">
        <v>0</v>
      </c>
      <c r="AN5" s="52"/>
      <c r="AO5" s="52"/>
      <c r="AP5" s="52"/>
      <c r="AQ5" s="52"/>
      <c r="AR5" s="52"/>
      <c r="AS5" s="52" t="b">
        <v>0</v>
      </c>
      <c r="AT5" s="52"/>
      <c r="AU5" s="52"/>
      <c r="AV5" s="52"/>
      <c r="AW5" s="52"/>
      <c r="AX5" s="52" t="str">
        <f t="shared" si="3"/>
        <v>ملتزم</v>
      </c>
      <c r="AY5" s="52" t="s">
        <v>69</v>
      </c>
      <c r="AZ5" s="43"/>
      <c r="BA5" s="55" t="s">
        <v>75</v>
      </c>
      <c r="BB5" s="55"/>
      <c r="BC5" s="55"/>
      <c r="BD5" s="52"/>
      <c r="BE5" s="52"/>
      <c r="BF5" s="52"/>
      <c r="BG5" s="52"/>
      <c r="BH5" s="52"/>
      <c r="BI5" s="54" t="s">
        <v>76</v>
      </c>
      <c r="BJ5" s="54">
        <f>(U5+V5+AE5)-BD5-BE5</f>
        <v>27500</v>
      </c>
      <c r="BK5" s="52"/>
    </row>
    <row r="6" spans="1:63" ht="34.5" hidden="1" customHeight="1" x14ac:dyDescent="0.25">
      <c r="A6" s="35" t="e">
        <f t="shared" si="0"/>
        <v>#VALUE!</v>
      </c>
      <c r="B6" s="56" t="s">
        <v>63</v>
      </c>
      <c r="C6" s="57"/>
      <c r="D6" s="37"/>
      <c r="E6" s="37" t="b">
        <v>0</v>
      </c>
      <c r="F6" s="37"/>
      <c r="G6" s="65"/>
      <c r="H6" s="42">
        <v>1</v>
      </c>
      <c r="I6" s="58">
        <v>25</v>
      </c>
      <c r="J6" s="66"/>
      <c r="K6" s="67"/>
      <c r="L6" s="61"/>
      <c r="M6" s="61"/>
      <c r="N6" s="35" t="s">
        <v>73</v>
      </c>
      <c r="O6" s="42" t="s">
        <v>74</v>
      </c>
      <c r="P6" s="35"/>
      <c r="Q6" s="35"/>
      <c r="R6" s="35">
        <v>33.5</v>
      </c>
      <c r="S6" s="62">
        <v>25000</v>
      </c>
      <c r="T6" s="44">
        <f t="shared" si="4"/>
        <v>2500</v>
      </c>
      <c r="U6" s="63">
        <f t="shared" si="5"/>
        <v>27500</v>
      </c>
      <c r="V6" s="64"/>
      <c r="W6" s="64"/>
      <c r="X6" s="51"/>
      <c r="Y6" s="48">
        <f t="shared" si="1"/>
        <v>0</v>
      </c>
      <c r="Z6" s="49">
        <v>0</v>
      </c>
      <c r="AA6" s="50">
        <f t="shared" si="2"/>
        <v>0</v>
      </c>
      <c r="AB6" s="50"/>
      <c r="AC6" s="51">
        <v>28750</v>
      </c>
      <c r="AD6" s="52">
        <f>S6*1.15-AC6</f>
        <v>0</v>
      </c>
      <c r="AE6" s="53">
        <f>S6*1.15+X6-AB6-AC6</f>
        <v>0</v>
      </c>
      <c r="AF6" s="52" t="b">
        <v>0</v>
      </c>
      <c r="AG6" s="52"/>
      <c r="AH6" s="52"/>
      <c r="AI6" s="52"/>
      <c r="AJ6" s="52"/>
      <c r="AK6" s="52"/>
      <c r="AL6" s="52"/>
      <c r="AM6" s="52" t="b">
        <v>0</v>
      </c>
      <c r="AN6" s="52"/>
      <c r="AO6" s="52"/>
      <c r="AP6" s="52"/>
      <c r="AQ6" s="52"/>
      <c r="AR6" s="52"/>
      <c r="AS6" s="52" t="b">
        <v>0</v>
      </c>
      <c r="AT6" s="52"/>
      <c r="AU6" s="52"/>
      <c r="AV6" s="52"/>
      <c r="AW6" s="52"/>
      <c r="AX6" s="52" t="str">
        <f t="shared" si="3"/>
        <v>ملتزم</v>
      </c>
      <c r="AY6" s="54" t="s">
        <v>69</v>
      </c>
      <c r="AZ6" s="43"/>
      <c r="BA6" s="55"/>
      <c r="BB6" s="55"/>
      <c r="BC6" s="55"/>
      <c r="BD6" s="54"/>
      <c r="BE6" s="68">
        <v>0</v>
      </c>
      <c r="BF6" s="54"/>
      <c r="BG6" s="54"/>
      <c r="BH6" s="54"/>
      <c r="BI6" s="54" t="s">
        <v>76</v>
      </c>
      <c r="BJ6" s="54">
        <f>(U6+V6+AE6)-BD6-BE6</f>
        <v>27500</v>
      </c>
      <c r="BK6" s="54"/>
    </row>
    <row r="7" spans="1:63" ht="34.5" hidden="1" customHeight="1" x14ac:dyDescent="0.25">
      <c r="A7" s="35" t="e">
        <f t="shared" si="0"/>
        <v>#VALUE!</v>
      </c>
      <c r="B7" s="56" t="s">
        <v>63</v>
      </c>
      <c r="C7" s="57"/>
      <c r="D7" s="37"/>
      <c r="E7" s="37" t="b">
        <v>0</v>
      </c>
      <c r="F7" s="37"/>
      <c r="G7" s="65"/>
      <c r="H7" s="42">
        <v>1</v>
      </c>
      <c r="I7" s="58">
        <v>54</v>
      </c>
      <c r="J7" s="61"/>
      <c r="K7" s="61"/>
      <c r="L7" s="61"/>
      <c r="M7" s="61"/>
      <c r="N7" s="35" t="s">
        <v>73</v>
      </c>
      <c r="O7" s="42" t="s">
        <v>74</v>
      </c>
      <c r="P7" s="35"/>
      <c r="Q7" s="35"/>
      <c r="R7" s="35">
        <v>138</v>
      </c>
      <c r="S7" s="62">
        <v>42000</v>
      </c>
      <c r="T7" s="44">
        <f t="shared" si="4"/>
        <v>4200</v>
      </c>
      <c r="U7" s="63">
        <f t="shared" si="5"/>
        <v>46200</v>
      </c>
      <c r="V7" s="64"/>
      <c r="W7" s="64"/>
      <c r="X7" s="52"/>
      <c r="Y7" s="48">
        <f t="shared" si="1"/>
        <v>0</v>
      </c>
      <c r="Z7" s="69">
        <v>0</v>
      </c>
      <c r="AA7" s="50">
        <f t="shared" si="2"/>
        <v>0</v>
      </c>
      <c r="AB7" s="50"/>
      <c r="AC7" s="52">
        <v>48300</v>
      </c>
      <c r="AD7" s="52">
        <f>S7*1.15-AC7</f>
        <v>0</v>
      </c>
      <c r="AE7" s="53">
        <f>S7*1.15+X7-AB7-AC7</f>
        <v>0</v>
      </c>
      <c r="AF7" s="52" t="b">
        <v>0</v>
      </c>
      <c r="AG7" s="52"/>
      <c r="AH7" s="52"/>
      <c r="AI7" s="52"/>
      <c r="AJ7" s="52"/>
      <c r="AK7" s="52"/>
      <c r="AL7" s="52"/>
      <c r="AM7" s="52" t="b">
        <v>0</v>
      </c>
      <c r="AN7" s="52"/>
      <c r="AO7" s="52"/>
      <c r="AP7" s="52"/>
      <c r="AQ7" s="52"/>
      <c r="AR7" s="52"/>
      <c r="AS7" s="52" t="b">
        <v>0</v>
      </c>
      <c r="AT7" s="52"/>
      <c r="AU7" s="52"/>
      <c r="AV7" s="52"/>
      <c r="AW7" s="52"/>
      <c r="AX7" s="52" t="str">
        <f t="shared" si="3"/>
        <v>ملتزم</v>
      </c>
      <c r="AY7" s="54" t="s">
        <v>77</v>
      </c>
      <c r="AZ7" s="43"/>
      <c r="BA7" s="70">
        <f>R7*450</f>
        <v>62100</v>
      </c>
      <c r="BB7" s="70"/>
      <c r="BC7" s="70"/>
      <c r="BD7" s="54"/>
      <c r="BE7" s="54"/>
      <c r="BF7" s="54"/>
      <c r="BG7" s="54"/>
      <c r="BH7" s="54"/>
      <c r="BI7" s="54" t="s">
        <v>72</v>
      </c>
      <c r="BJ7" s="54">
        <f>(U7+V7+AE7)-BD7-BE7</f>
        <v>46200</v>
      </c>
      <c r="BK7" s="54"/>
    </row>
    <row r="8" spans="1:63" ht="34.5" hidden="1" customHeight="1" x14ac:dyDescent="0.25">
      <c r="A8" s="35" t="e">
        <f t="shared" si="0"/>
        <v>#VALUE!</v>
      </c>
      <c r="B8" s="56" t="s">
        <v>63</v>
      </c>
      <c r="C8" s="71"/>
      <c r="D8" s="37"/>
      <c r="E8" s="37" t="b">
        <v>0</v>
      </c>
      <c r="F8" s="37"/>
      <c r="G8" s="65"/>
      <c r="H8" s="42">
        <v>1</v>
      </c>
      <c r="I8" s="58">
        <v>60</v>
      </c>
      <c r="J8" s="59"/>
      <c r="K8" s="61"/>
      <c r="L8" s="61"/>
      <c r="M8" s="61"/>
      <c r="N8" s="35" t="s">
        <v>73</v>
      </c>
      <c r="O8" s="42" t="s">
        <v>74</v>
      </c>
      <c r="P8" s="35">
        <v>12</v>
      </c>
      <c r="Q8" s="35">
        <v>3.8</v>
      </c>
      <c r="R8" s="35">
        <f>P8*Q8</f>
        <v>45.599999999999994</v>
      </c>
      <c r="S8" s="62">
        <v>32000</v>
      </c>
      <c r="T8" s="44">
        <f t="shared" si="4"/>
        <v>3200</v>
      </c>
      <c r="U8" s="63">
        <f t="shared" si="5"/>
        <v>35200</v>
      </c>
      <c r="V8" s="64"/>
      <c r="W8" s="64"/>
      <c r="X8" s="52"/>
      <c r="Y8" s="48">
        <f t="shared" si="1"/>
        <v>0</v>
      </c>
      <c r="Z8" s="69">
        <v>0</v>
      </c>
      <c r="AA8" s="50">
        <f t="shared" si="2"/>
        <v>0</v>
      </c>
      <c r="AB8" s="50"/>
      <c r="AC8" s="52">
        <v>36800</v>
      </c>
      <c r="AD8" s="52">
        <f>S8*1.15-AC8</f>
        <v>0</v>
      </c>
      <c r="AE8" s="53">
        <f>S8*1.15+X8-AB8-AC8</f>
        <v>0</v>
      </c>
      <c r="AF8" s="52" t="b">
        <v>0</v>
      </c>
      <c r="AG8" s="52"/>
      <c r="AH8" s="52"/>
      <c r="AI8" s="52"/>
      <c r="AJ8" s="52"/>
      <c r="AK8" s="52"/>
      <c r="AL8" s="52"/>
      <c r="AM8" s="52" t="b">
        <v>0</v>
      </c>
      <c r="AN8" s="52"/>
      <c r="AO8" s="52"/>
      <c r="AP8" s="52"/>
      <c r="AQ8" s="52"/>
      <c r="AR8" s="52"/>
      <c r="AS8" s="52" t="b">
        <v>0</v>
      </c>
      <c r="AT8" s="52"/>
      <c r="AU8" s="52"/>
      <c r="AV8" s="52"/>
      <c r="AW8" s="52"/>
      <c r="AX8" s="52" t="str">
        <f t="shared" si="3"/>
        <v>ملتزم</v>
      </c>
      <c r="AY8" s="54" t="s">
        <v>77</v>
      </c>
      <c r="AZ8" s="43"/>
      <c r="BA8" s="55" t="s">
        <v>75</v>
      </c>
      <c r="BB8" s="55"/>
      <c r="BC8" s="55"/>
      <c r="BD8" s="54"/>
      <c r="BE8" s="54"/>
      <c r="BF8" s="54"/>
      <c r="BG8" s="54"/>
      <c r="BH8" s="54"/>
      <c r="BI8" s="54" t="s">
        <v>72</v>
      </c>
      <c r="BJ8" s="54">
        <f>(U8+V8+AE8)-BD8-BE8</f>
        <v>35200</v>
      </c>
      <c r="BK8" s="54"/>
    </row>
    <row r="9" spans="1:63" ht="34.5" hidden="1" customHeight="1" x14ac:dyDescent="0.25">
      <c r="A9" s="35" t="e">
        <f t="shared" si="0"/>
        <v>#VALUE!</v>
      </c>
      <c r="B9" s="56" t="s">
        <v>63</v>
      </c>
      <c r="C9" s="72"/>
      <c r="D9" s="37"/>
      <c r="E9" s="37" t="b">
        <v>0</v>
      </c>
      <c r="F9" s="37"/>
      <c r="G9" s="65"/>
      <c r="H9" s="42">
        <v>1</v>
      </c>
      <c r="I9" s="58">
        <v>63</v>
      </c>
      <c r="J9" s="61"/>
      <c r="K9" s="60"/>
      <c r="L9" s="60"/>
      <c r="M9" s="61"/>
      <c r="N9" s="35" t="s">
        <v>73</v>
      </c>
      <c r="O9" s="42" t="s">
        <v>74</v>
      </c>
      <c r="P9" s="35"/>
      <c r="Q9" s="35"/>
      <c r="R9" s="35">
        <v>93</v>
      </c>
      <c r="S9" s="62">
        <v>32000</v>
      </c>
      <c r="T9" s="44">
        <f t="shared" si="4"/>
        <v>3200</v>
      </c>
      <c r="U9" s="63">
        <f t="shared" si="5"/>
        <v>35200</v>
      </c>
      <c r="V9" s="64"/>
      <c r="W9" s="64"/>
      <c r="X9" s="52"/>
      <c r="Y9" s="48">
        <f t="shared" si="1"/>
        <v>0</v>
      </c>
      <c r="Z9" s="69">
        <v>0</v>
      </c>
      <c r="AA9" s="50">
        <f t="shared" si="2"/>
        <v>0</v>
      </c>
      <c r="AB9" s="50"/>
      <c r="AC9" s="52">
        <v>36800</v>
      </c>
      <c r="AD9" s="52">
        <f>S9*1.15-AC9</f>
        <v>0</v>
      </c>
      <c r="AE9" s="53">
        <f>S9*1.15+X9-AB9-AC9</f>
        <v>0</v>
      </c>
      <c r="AF9" s="52" t="b">
        <v>0</v>
      </c>
      <c r="AG9" s="52"/>
      <c r="AH9" s="52"/>
      <c r="AI9" s="52"/>
      <c r="AJ9" s="52"/>
      <c r="AK9" s="52"/>
      <c r="AL9" s="52"/>
      <c r="AM9" s="52" t="b">
        <v>0</v>
      </c>
      <c r="AN9" s="52"/>
      <c r="AO9" s="52"/>
      <c r="AP9" s="52"/>
      <c r="AQ9" s="52"/>
      <c r="AR9" s="52"/>
      <c r="AS9" s="52" t="b">
        <v>0</v>
      </c>
      <c r="AT9" s="52"/>
      <c r="AU9" s="52"/>
      <c r="AV9" s="52"/>
      <c r="AW9" s="52"/>
      <c r="AX9" s="52" t="str">
        <f t="shared" si="3"/>
        <v>ملتزم</v>
      </c>
      <c r="AY9" s="54" t="s">
        <v>69</v>
      </c>
      <c r="AZ9" s="43"/>
      <c r="BA9" s="55"/>
      <c r="BB9" s="55"/>
      <c r="BC9" s="55"/>
      <c r="BD9" s="54"/>
      <c r="BE9" s="54"/>
      <c r="BF9" s="54"/>
      <c r="BG9" s="54"/>
      <c r="BH9" s="54"/>
      <c r="BI9" s="54" t="s">
        <v>76</v>
      </c>
      <c r="BJ9" s="54">
        <f>(U9+V9+AE9)-BD9-BE9</f>
        <v>35200</v>
      </c>
      <c r="BK9" s="54"/>
    </row>
    <row r="10" spans="1:63" ht="34.5" hidden="1" customHeight="1" x14ac:dyDescent="0.25">
      <c r="A10" s="35" t="e">
        <f t="shared" si="0"/>
        <v>#VALUE!</v>
      </c>
      <c r="B10" s="56" t="s">
        <v>63</v>
      </c>
      <c r="C10" s="57"/>
      <c r="D10" s="37"/>
      <c r="E10" s="37" t="b">
        <v>0</v>
      </c>
      <c r="F10" s="37"/>
      <c r="G10" s="65"/>
      <c r="H10" s="42">
        <v>1</v>
      </c>
      <c r="I10" s="58">
        <v>75</v>
      </c>
      <c r="J10" s="61"/>
      <c r="K10" s="61"/>
      <c r="L10" s="61"/>
      <c r="M10" s="61"/>
      <c r="N10" s="35" t="s">
        <v>73</v>
      </c>
      <c r="O10" s="42" t="s">
        <v>74</v>
      </c>
      <c r="P10" s="35"/>
      <c r="Q10" s="35"/>
      <c r="R10" s="35">
        <v>78.3</v>
      </c>
      <c r="S10" s="62">
        <v>30000</v>
      </c>
      <c r="T10" s="44">
        <f t="shared" si="4"/>
        <v>3000</v>
      </c>
      <c r="U10" s="63">
        <f t="shared" si="5"/>
        <v>33000</v>
      </c>
      <c r="V10" s="64"/>
      <c r="W10" s="64"/>
      <c r="X10" s="51">
        <v>0</v>
      </c>
      <c r="Y10" s="48">
        <f t="shared" si="1"/>
        <v>0</v>
      </c>
      <c r="Z10" s="49">
        <v>0</v>
      </c>
      <c r="AA10" s="50">
        <f t="shared" si="2"/>
        <v>0</v>
      </c>
      <c r="AB10" s="50"/>
      <c r="AC10" s="51">
        <v>34500</v>
      </c>
      <c r="AD10" s="52">
        <f>S10*1.15-AC10</f>
        <v>0</v>
      </c>
      <c r="AE10" s="73">
        <f>S10*1.15+X10-AB10-AC10</f>
        <v>0</v>
      </c>
      <c r="AF10" s="52" t="b">
        <v>0</v>
      </c>
      <c r="AG10" s="52"/>
      <c r="AH10" s="52"/>
      <c r="AI10" s="52"/>
      <c r="AJ10" s="52"/>
      <c r="AK10" s="52"/>
      <c r="AL10" s="52"/>
      <c r="AM10" s="52" t="b">
        <v>0</v>
      </c>
      <c r="AN10" s="52"/>
      <c r="AO10" s="52"/>
      <c r="AP10" s="52"/>
      <c r="AQ10" s="52"/>
      <c r="AR10" s="52"/>
      <c r="AS10" s="52" t="b">
        <v>0</v>
      </c>
      <c r="AT10" s="52"/>
      <c r="AU10" s="52"/>
      <c r="AV10" s="52"/>
      <c r="AW10" s="52"/>
      <c r="AX10" s="52" t="str">
        <f t="shared" si="3"/>
        <v>ملتزم</v>
      </c>
      <c r="AY10" s="54" t="s">
        <v>77</v>
      </c>
      <c r="AZ10" s="43" t="s">
        <v>78</v>
      </c>
      <c r="BA10" s="55"/>
      <c r="BB10" s="55"/>
      <c r="BC10" s="55"/>
      <c r="BD10" s="54"/>
      <c r="BE10" s="68">
        <v>9545</v>
      </c>
      <c r="BF10" s="54"/>
      <c r="BG10" s="54"/>
      <c r="BH10" s="54"/>
      <c r="BI10" s="54" t="s">
        <v>72</v>
      </c>
      <c r="BJ10" s="54">
        <f>(U10+V10+AE10)-BD10-BE10</f>
        <v>23455</v>
      </c>
      <c r="BK10" s="54" t="s">
        <v>79</v>
      </c>
    </row>
    <row r="11" spans="1:63" ht="34.5" hidden="1" customHeight="1" x14ac:dyDescent="0.25">
      <c r="A11" s="35" t="e">
        <f t="shared" si="0"/>
        <v>#VALUE!</v>
      </c>
      <c r="B11" s="74" t="s">
        <v>63</v>
      </c>
      <c r="C11" s="75"/>
      <c r="D11" s="37"/>
      <c r="E11" s="37" t="b">
        <v>0</v>
      </c>
      <c r="F11" s="37"/>
      <c r="G11" s="65"/>
      <c r="H11" s="76">
        <v>1</v>
      </c>
      <c r="I11" s="77">
        <v>78</v>
      </c>
      <c r="J11" s="78"/>
      <c r="K11" s="79"/>
      <c r="L11" s="79"/>
      <c r="M11" s="79"/>
      <c r="N11" s="35" t="s">
        <v>73</v>
      </c>
      <c r="O11" s="42" t="s">
        <v>74</v>
      </c>
      <c r="P11" s="35"/>
      <c r="Q11" s="35"/>
      <c r="R11" s="35">
        <v>136.5</v>
      </c>
      <c r="S11" s="80">
        <v>40500</v>
      </c>
      <c r="T11" s="44">
        <f t="shared" si="4"/>
        <v>4050</v>
      </c>
      <c r="U11" s="63">
        <f t="shared" si="5"/>
        <v>44550</v>
      </c>
      <c r="V11" s="64"/>
      <c r="W11" s="64"/>
      <c r="X11" s="52">
        <v>0</v>
      </c>
      <c r="Y11" s="48">
        <f t="shared" si="1"/>
        <v>0</v>
      </c>
      <c r="Z11" s="69">
        <v>0</v>
      </c>
      <c r="AA11" s="50">
        <f t="shared" si="2"/>
        <v>0</v>
      </c>
      <c r="AB11" s="50"/>
      <c r="AC11" s="52">
        <v>46575</v>
      </c>
      <c r="AD11" s="52">
        <f>S11*1.15-AC11</f>
        <v>0</v>
      </c>
      <c r="AE11" s="53">
        <f>S11*1.15+X11-AB11-AC11</f>
        <v>0</v>
      </c>
      <c r="AF11" s="52" t="b">
        <v>0</v>
      </c>
      <c r="AG11" s="52"/>
      <c r="AH11" s="52"/>
      <c r="AI11" s="52"/>
      <c r="AJ11" s="52"/>
      <c r="AK11" s="52"/>
      <c r="AL11" s="52"/>
      <c r="AM11" s="52" t="b">
        <v>0</v>
      </c>
      <c r="AN11" s="52"/>
      <c r="AO11" s="52"/>
      <c r="AP11" s="52"/>
      <c r="AQ11" s="52"/>
      <c r="AR11" s="52"/>
      <c r="AS11" s="52" t="b">
        <v>0</v>
      </c>
      <c r="AT11" s="52"/>
      <c r="AU11" s="52"/>
      <c r="AV11" s="52"/>
      <c r="AW11" s="52"/>
      <c r="AX11" s="52" t="str">
        <f t="shared" si="3"/>
        <v>ملتزم</v>
      </c>
      <c r="AY11" s="54" t="s">
        <v>77</v>
      </c>
      <c r="AZ11" s="43"/>
      <c r="BA11" s="55" t="s">
        <v>63</v>
      </c>
      <c r="BB11" s="55"/>
      <c r="BC11" s="55"/>
      <c r="BD11" s="54"/>
      <c r="BE11" s="54"/>
      <c r="BF11" s="54"/>
      <c r="BG11" s="54"/>
      <c r="BH11" s="54"/>
      <c r="BI11" s="54" t="s">
        <v>72</v>
      </c>
      <c r="BJ11" s="54">
        <f>(U11+V11+AE11)-BD11-BE11</f>
        <v>44550</v>
      </c>
      <c r="BK11" s="54"/>
    </row>
    <row r="12" spans="1:63" ht="34.5" hidden="1" customHeight="1" x14ac:dyDescent="0.25">
      <c r="A12" s="35" t="e">
        <f t="shared" si="0"/>
        <v>#VALUE!</v>
      </c>
      <c r="B12" s="36" t="s">
        <v>63</v>
      </c>
      <c r="C12" s="35"/>
      <c r="D12" s="37"/>
      <c r="E12" s="37" t="b">
        <v>0</v>
      </c>
      <c r="F12" s="37"/>
      <c r="G12" s="65"/>
      <c r="H12" s="35">
        <v>1</v>
      </c>
      <c r="I12" s="36">
        <v>80</v>
      </c>
      <c r="J12" s="81"/>
      <c r="K12" s="81"/>
      <c r="L12" s="81"/>
      <c r="M12" s="81"/>
      <c r="N12" s="35" t="s">
        <v>64</v>
      </c>
      <c r="O12" s="42" t="s">
        <v>65</v>
      </c>
      <c r="P12" s="35">
        <v>12.4</v>
      </c>
      <c r="Q12" s="35">
        <v>6.6</v>
      </c>
      <c r="R12" s="35">
        <f t="shared" ref="R12:R21" si="6">P12*Q12</f>
        <v>81.84</v>
      </c>
      <c r="S12" s="43">
        <v>30000</v>
      </c>
      <c r="T12" s="44">
        <f t="shared" si="4"/>
        <v>3000</v>
      </c>
      <c r="U12" s="63">
        <f t="shared" si="5"/>
        <v>33000</v>
      </c>
      <c r="V12" s="46">
        <v>40920</v>
      </c>
      <c r="W12" s="46"/>
      <c r="X12" s="82"/>
      <c r="Y12" s="48">
        <f t="shared" si="1"/>
        <v>0</v>
      </c>
      <c r="Z12" s="83">
        <v>0</v>
      </c>
      <c r="AA12" s="50">
        <f t="shared" si="2"/>
        <v>0</v>
      </c>
      <c r="AB12" s="50">
        <v>0</v>
      </c>
      <c r="AC12" s="82">
        <v>34500</v>
      </c>
      <c r="AD12" s="52">
        <f>S12*1.15-AC12</f>
        <v>0</v>
      </c>
      <c r="AE12" s="53">
        <f>S12*1.15+X12-AB12-AC12</f>
        <v>0</v>
      </c>
      <c r="AF12" s="52" t="b">
        <v>0</v>
      </c>
      <c r="AG12" s="52"/>
      <c r="AH12" s="52"/>
      <c r="AI12" s="52"/>
      <c r="AJ12" s="52"/>
      <c r="AK12" s="52"/>
      <c r="AL12" s="52"/>
      <c r="AM12" s="52" t="b">
        <v>0</v>
      </c>
      <c r="AN12" s="52"/>
      <c r="AO12" s="52"/>
      <c r="AP12" s="52"/>
      <c r="AQ12" s="52"/>
      <c r="AR12" s="52"/>
      <c r="AS12" s="52" t="b">
        <v>0</v>
      </c>
      <c r="AT12" s="52"/>
      <c r="AU12" s="52"/>
      <c r="AV12" s="52"/>
      <c r="AW12" s="52"/>
      <c r="AX12" s="52" t="str">
        <f t="shared" si="3"/>
        <v>ملتزم</v>
      </c>
      <c r="AY12" s="54" t="s">
        <v>77</v>
      </c>
      <c r="AZ12" s="43"/>
      <c r="BA12" s="55"/>
      <c r="BB12" s="55"/>
      <c r="BC12" s="55"/>
      <c r="BD12" s="54"/>
      <c r="BE12" s="54"/>
      <c r="BF12" s="54"/>
      <c r="BG12" s="54"/>
      <c r="BH12" s="54"/>
      <c r="BI12" s="54" t="s">
        <v>72</v>
      </c>
      <c r="BJ12" s="54">
        <f>(U12+V12+AE12)-BD12-BE12</f>
        <v>73920</v>
      </c>
      <c r="BK12" s="54"/>
    </row>
    <row r="13" spans="1:63" ht="34.5" hidden="1" customHeight="1" x14ac:dyDescent="0.25">
      <c r="A13" s="35" t="e">
        <f t="shared" si="0"/>
        <v>#VALUE!</v>
      </c>
      <c r="B13" s="36" t="s">
        <v>63</v>
      </c>
      <c r="C13" s="35"/>
      <c r="D13" s="37"/>
      <c r="E13" s="37" t="b">
        <v>0</v>
      </c>
      <c r="F13" s="37"/>
      <c r="G13" s="65"/>
      <c r="H13" s="35">
        <v>1</v>
      </c>
      <c r="I13" s="36">
        <v>81</v>
      </c>
      <c r="J13" s="84"/>
      <c r="K13" s="81"/>
      <c r="L13" s="81"/>
      <c r="M13" s="81"/>
      <c r="N13" s="35" t="s">
        <v>64</v>
      </c>
      <c r="O13" s="42" t="s">
        <v>65</v>
      </c>
      <c r="P13" s="35">
        <v>8</v>
      </c>
      <c r="Q13" s="35">
        <v>6.6</v>
      </c>
      <c r="R13" s="35">
        <f t="shared" si="6"/>
        <v>52.8</v>
      </c>
      <c r="S13" s="43">
        <v>20000</v>
      </c>
      <c r="T13" s="44">
        <f t="shared" si="4"/>
        <v>2000</v>
      </c>
      <c r="U13" s="63">
        <f t="shared" si="5"/>
        <v>22000</v>
      </c>
      <c r="V13" s="46">
        <v>33000</v>
      </c>
      <c r="W13" s="46"/>
      <c r="X13" s="51">
        <v>9517</v>
      </c>
      <c r="Y13" s="48">
        <f t="shared" si="1"/>
        <v>8275.652173913044</v>
      </c>
      <c r="Z13" s="49">
        <v>0</v>
      </c>
      <c r="AA13" s="50">
        <f t="shared" si="2"/>
        <v>0</v>
      </c>
      <c r="AB13" s="50"/>
      <c r="AC13" s="51">
        <v>32517</v>
      </c>
      <c r="AD13" s="52">
        <v>0</v>
      </c>
      <c r="AE13" s="53">
        <f>S13*1.15+X13-AB13-AC13</f>
        <v>0</v>
      </c>
      <c r="AF13" s="52" t="b">
        <v>0</v>
      </c>
      <c r="AG13" s="52"/>
      <c r="AH13" s="52"/>
      <c r="AI13" s="52"/>
      <c r="AJ13" s="52"/>
      <c r="AK13" s="52"/>
      <c r="AL13" s="52"/>
      <c r="AM13" s="52" t="b">
        <v>0</v>
      </c>
      <c r="AN13" s="52"/>
      <c r="AO13" s="52"/>
      <c r="AP13" s="52"/>
      <c r="AQ13" s="52"/>
      <c r="AR13" s="52"/>
      <c r="AS13" s="52" t="b">
        <v>0</v>
      </c>
      <c r="AT13" s="52"/>
      <c r="AU13" s="52"/>
      <c r="AV13" s="52"/>
      <c r="AW13" s="52"/>
      <c r="AX13" s="52" t="str">
        <f t="shared" si="3"/>
        <v>ملتزم</v>
      </c>
      <c r="AY13" s="54" t="s">
        <v>77</v>
      </c>
      <c r="AZ13" s="43" t="s">
        <v>81</v>
      </c>
      <c r="BA13" s="70" t="s">
        <v>82</v>
      </c>
      <c r="BB13" s="70"/>
      <c r="BC13" s="70"/>
      <c r="BD13" s="54"/>
      <c r="BE13" s="54"/>
      <c r="BF13" s="54"/>
      <c r="BG13" s="54"/>
      <c r="BH13" s="54"/>
      <c r="BI13" s="54" t="s">
        <v>76</v>
      </c>
      <c r="BJ13" s="54">
        <f>(U13+V13+AE13)-BD13-BE13</f>
        <v>55000</v>
      </c>
      <c r="BK13" s="54"/>
    </row>
    <row r="14" spans="1:63" ht="34.5" hidden="1" customHeight="1" x14ac:dyDescent="0.25">
      <c r="A14" s="35" t="e">
        <f t="shared" si="0"/>
        <v>#VALUE!</v>
      </c>
      <c r="B14" s="36" t="s">
        <v>63</v>
      </c>
      <c r="C14" s="35"/>
      <c r="D14" s="37"/>
      <c r="E14" s="37" t="b">
        <v>0</v>
      </c>
      <c r="F14" s="37"/>
      <c r="G14" s="65"/>
      <c r="H14" s="35">
        <v>1</v>
      </c>
      <c r="I14" s="36">
        <v>82</v>
      </c>
      <c r="J14" s="85"/>
      <c r="K14" s="86"/>
      <c r="L14" s="87"/>
      <c r="M14" s="81"/>
      <c r="N14" s="35" t="s">
        <v>64</v>
      </c>
      <c r="O14" s="42" t="s">
        <v>65</v>
      </c>
      <c r="P14" s="35">
        <v>8</v>
      </c>
      <c r="Q14" s="35">
        <v>6.6</v>
      </c>
      <c r="R14" s="35">
        <f t="shared" si="6"/>
        <v>52.8</v>
      </c>
      <c r="S14" s="43">
        <v>28000</v>
      </c>
      <c r="T14" s="44"/>
      <c r="U14" s="45"/>
      <c r="V14" s="46">
        <v>28000</v>
      </c>
      <c r="W14" s="46"/>
      <c r="X14" s="88"/>
      <c r="Y14" s="89">
        <f t="shared" si="1"/>
        <v>0</v>
      </c>
      <c r="Z14" s="90">
        <v>0</v>
      </c>
      <c r="AA14" s="91">
        <f t="shared" si="2"/>
        <v>0</v>
      </c>
      <c r="AB14" s="91"/>
      <c r="AC14" s="88">
        <v>32200</v>
      </c>
      <c r="AD14" s="54">
        <f>S14*1.15-AC14</f>
        <v>0</v>
      </c>
      <c r="AE14" s="53">
        <f>S14*1.15+X14-AB14-AC14</f>
        <v>0</v>
      </c>
      <c r="AF14" s="54" t="b">
        <v>0</v>
      </c>
      <c r="AG14" s="54"/>
      <c r="AH14" s="54"/>
      <c r="AI14" s="54"/>
      <c r="AJ14" s="54"/>
      <c r="AK14" s="54"/>
      <c r="AL14" s="54"/>
      <c r="AM14" s="54" t="b">
        <v>0</v>
      </c>
      <c r="AN14" s="54"/>
      <c r="AO14" s="54"/>
      <c r="AP14" s="54"/>
      <c r="AQ14" s="54"/>
      <c r="AR14" s="54"/>
      <c r="AS14" s="54" t="b">
        <v>0</v>
      </c>
      <c r="AT14" s="54"/>
      <c r="AU14" s="54"/>
      <c r="AV14" s="54"/>
      <c r="AW14" s="54"/>
      <c r="AX14" s="54" t="str">
        <f t="shared" si="3"/>
        <v>ملتزم</v>
      </c>
      <c r="AY14" s="54" t="s">
        <v>69</v>
      </c>
      <c r="AZ14" s="43"/>
      <c r="BA14" s="55"/>
      <c r="BB14" s="55"/>
      <c r="BC14" s="55"/>
      <c r="BD14" s="54"/>
      <c r="BE14" s="54"/>
      <c r="BF14" s="54"/>
      <c r="BG14" s="54"/>
      <c r="BH14" s="54"/>
      <c r="BI14" s="54" t="s">
        <v>72</v>
      </c>
      <c r="BJ14" s="54">
        <f>(U14+V14+AE14)-BD14-BE14</f>
        <v>28000</v>
      </c>
      <c r="BK14" s="54"/>
    </row>
    <row r="15" spans="1:63" ht="34.5" hidden="1" customHeight="1" x14ac:dyDescent="0.25">
      <c r="A15" s="35" t="e">
        <f t="shared" si="0"/>
        <v>#VALUE!</v>
      </c>
      <c r="B15" s="36" t="s">
        <v>63</v>
      </c>
      <c r="C15" s="35"/>
      <c r="D15" s="37"/>
      <c r="E15" s="37" t="b">
        <v>0</v>
      </c>
      <c r="F15" s="37"/>
      <c r="G15" s="65"/>
      <c r="H15" s="35">
        <v>1</v>
      </c>
      <c r="I15" s="36">
        <v>89</v>
      </c>
      <c r="J15" s="85"/>
      <c r="K15" s="85"/>
      <c r="L15" s="81"/>
      <c r="M15" s="81"/>
      <c r="N15" s="35" t="s">
        <v>64</v>
      </c>
      <c r="O15" s="42" t="s">
        <v>65</v>
      </c>
      <c r="P15" s="35">
        <v>6.6</v>
      </c>
      <c r="Q15" s="35">
        <v>8</v>
      </c>
      <c r="R15" s="35">
        <f t="shared" si="6"/>
        <v>52.8</v>
      </c>
      <c r="S15" s="43">
        <v>26000</v>
      </c>
      <c r="T15" s="44">
        <f t="shared" ref="T15:T17" si="7">S15*10/100</f>
        <v>2600</v>
      </c>
      <c r="U15" s="63">
        <f t="shared" ref="U15:U17" si="8">S15+T15</f>
        <v>28600</v>
      </c>
      <c r="V15" s="46">
        <v>33000</v>
      </c>
      <c r="W15" s="46"/>
      <c r="X15" s="51"/>
      <c r="Y15" s="48">
        <f t="shared" si="1"/>
        <v>0</v>
      </c>
      <c r="Z15" s="49">
        <v>0</v>
      </c>
      <c r="AA15" s="50">
        <f t="shared" si="2"/>
        <v>0</v>
      </c>
      <c r="AB15" s="50"/>
      <c r="AC15" s="51">
        <v>29900</v>
      </c>
      <c r="AD15" s="52">
        <f>S15*1.15-AC15</f>
        <v>0</v>
      </c>
      <c r="AE15" s="53">
        <f>S15*1.15+X15-AB15-AC15</f>
        <v>0</v>
      </c>
      <c r="AF15" s="52" t="b">
        <v>0</v>
      </c>
      <c r="AG15" s="52"/>
      <c r="AH15" s="52"/>
      <c r="AI15" s="52"/>
      <c r="AJ15" s="52"/>
      <c r="AK15" s="52"/>
      <c r="AL15" s="52"/>
      <c r="AM15" s="52" t="b">
        <v>0</v>
      </c>
      <c r="AN15" s="52"/>
      <c r="AO15" s="52"/>
      <c r="AP15" s="52"/>
      <c r="AQ15" s="52"/>
      <c r="AR15" s="52"/>
      <c r="AS15" s="52" t="b">
        <v>0</v>
      </c>
      <c r="AT15" s="52"/>
      <c r="AU15" s="52"/>
      <c r="AV15" s="52"/>
      <c r="AW15" s="52"/>
      <c r="AX15" s="52" t="str">
        <f t="shared" si="3"/>
        <v>ملتزم</v>
      </c>
      <c r="AY15" s="54" t="s">
        <v>77</v>
      </c>
      <c r="AZ15" s="43"/>
      <c r="BA15" s="55"/>
      <c r="BB15" s="55"/>
      <c r="BC15" s="55"/>
      <c r="BD15" s="54"/>
      <c r="BE15" s="54"/>
      <c r="BF15" s="54"/>
      <c r="BG15" s="54"/>
      <c r="BH15" s="54"/>
      <c r="BI15" s="54" t="s">
        <v>72</v>
      </c>
      <c r="BJ15" s="54">
        <f>(U15+V15+AE15)-BD15-BE15</f>
        <v>61600</v>
      </c>
      <c r="BK15" s="54"/>
    </row>
    <row r="16" spans="1:63" ht="34.5" hidden="1" customHeight="1" x14ac:dyDescent="0.25">
      <c r="A16" s="35" t="e">
        <f t="shared" si="0"/>
        <v>#VALUE!</v>
      </c>
      <c r="B16" s="36" t="s">
        <v>63</v>
      </c>
      <c r="C16" s="35"/>
      <c r="D16" s="37"/>
      <c r="E16" s="37" t="b">
        <v>0</v>
      </c>
      <c r="F16" s="37"/>
      <c r="G16" s="65"/>
      <c r="H16" s="35">
        <v>1</v>
      </c>
      <c r="I16" s="36">
        <v>98</v>
      </c>
      <c r="J16" s="92"/>
      <c r="K16" s="85"/>
      <c r="L16" s="81"/>
      <c r="M16" s="81"/>
      <c r="N16" s="35" t="s">
        <v>64</v>
      </c>
      <c r="O16" s="42" t="s">
        <v>65</v>
      </c>
      <c r="P16" s="35">
        <v>7.8</v>
      </c>
      <c r="Q16" s="35">
        <v>6.7</v>
      </c>
      <c r="R16" s="35">
        <f t="shared" si="6"/>
        <v>52.26</v>
      </c>
      <c r="S16" s="43">
        <v>21000</v>
      </c>
      <c r="T16" s="44">
        <f t="shared" si="7"/>
        <v>2100</v>
      </c>
      <c r="U16" s="63">
        <f t="shared" si="8"/>
        <v>23100</v>
      </c>
      <c r="V16" s="46">
        <v>28000</v>
      </c>
      <c r="W16" s="46"/>
      <c r="X16" s="51">
        <v>0</v>
      </c>
      <c r="Y16" s="48">
        <f t="shared" si="1"/>
        <v>0</v>
      </c>
      <c r="Z16" s="49">
        <v>0</v>
      </c>
      <c r="AA16" s="50">
        <f t="shared" si="2"/>
        <v>0</v>
      </c>
      <c r="AB16" s="50"/>
      <c r="AC16" s="51">
        <v>24150</v>
      </c>
      <c r="AD16" s="52">
        <f>S16*1.15-AC16</f>
        <v>0</v>
      </c>
      <c r="AE16" s="53">
        <f>S16*1.15+X16-AB16-AC16</f>
        <v>0</v>
      </c>
      <c r="AF16" s="52" t="b">
        <v>0</v>
      </c>
      <c r="AG16" s="52"/>
      <c r="AH16" s="52"/>
      <c r="AI16" s="52"/>
      <c r="AJ16" s="52"/>
      <c r="AK16" s="52"/>
      <c r="AL16" s="52"/>
      <c r="AM16" s="52" t="b">
        <v>0</v>
      </c>
      <c r="AN16" s="52"/>
      <c r="AO16" s="52"/>
      <c r="AP16" s="52"/>
      <c r="AQ16" s="52"/>
      <c r="AR16" s="52"/>
      <c r="AS16" s="52" t="b">
        <v>0</v>
      </c>
      <c r="AT16" s="52"/>
      <c r="AU16" s="52"/>
      <c r="AV16" s="52"/>
      <c r="AW16" s="52"/>
      <c r="AX16" s="52" t="str">
        <f t="shared" si="3"/>
        <v>ملتزم</v>
      </c>
      <c r="AY16" s="54" t="s">
        <v>83</v>
      </c>
      <c r="AZ16" s="43"/>
      <c r="BA16" s="70"/>
      <c r="BB16" s="70"/>
      <c r="BC16" s="70"/>
      <c r="BD16" s="54"/>
      <c r="BE16" s="54"/>
      <c r="BF16" s="54"/>
      <c r="BG16" s="54"/>
      <c r="BH16" s="54"/>
      <c r="BI16" s="54" t="s">
        <v>72</v>
      </c>
      <c r="BJ16" s="54">
        <f>(U16+V16+AE16)-BD16-BE16</f>
        <v>51100</v>
      </c>
      <c r="BK16" s="54"/>
    </row>
    <row r="17" spans="1:63" ht="34.5" hidden="1" customHeight="1" x14ac:dyDescent="0.25">
      <c r="A17" s="35" t="e">
        <f t="shared" si="0"/>
        <v>#VALUE!</v>
      </c>
      <c r="B17" s="36" t="s">
        <v>63</v>
      </c>
      <c r="C17" s="35"/>
      <c r="D17" s="37"/>
      <c r="E17" s="37" t="b">
        <v>0</v>
      </c>
      <c r="F17" s="37"/>
      <c r="G17" s="65"/>
      <c r="H17" s="35">
        <v>1</v>
      </c>
      <c r="I17" s="36">
        <v>106</v>
      </c>
      <c r="J17" s="93"/>
      <c r="K17" s="85"/>
      <c r="L17" s="81"/>
      <c r="M17" s="81"/>
      <c r="N17" s="35" t="s">
        <v>64</v>
      </c>
      <c r="O17" s="42" t="s">
        <v>65</v>
      </c>
      <c r="P17" s="35">
        <v>7.8</v>
      </c>
      <c r="Q17" s="35">
        <v>6.7</v>
      </c>
      <c r="R17" s="35">
        <f t="shared" si="6"/>
        <v>52.26</v>
      </c>
      <c r="S17" s="43">
        <v>20000</v>
      </c>
      <c r="T17" s="44">
        <f t="shared" si="7"/>
        <v>2000</v>
      </c>
      <c r="U17" s="63">
        <f t="shared" si="8"/>
        <v>22000</v>
      </c>
      <c r="V17" s="46">
        <v>28000</v>
      </c>
      <c r="W17" s="46"/>
      <c r="X17" s="47">
        <v>0</v>
      </c>
      <c r="Y17" s="48">
        <f t="shared" si="1"/>
        <v>0</v>
      </c>
      <c r="Z17" s="49">
        <v>0</v>
      </c>
      <c r="AA17" s="50">
        <f t="shared" si="2"/>
        <v>0</v>
      </c>
      <c r="AB17" s="50"/>
      <c r="AC17" s="51">
        <v>23000</v>
      </c>
      <c r="AD17" s="52">
        <f>S17*1.15-AC17</f>
        <v>0</v>
      </c>
      <c r="AE17" s="53">
        <f>S17*1.15+X17-AB17-AC17</f>
        <v>0</v>
      </c>
      <c r="AF17" s="52" t="b">
        <v>0</v>
      </c>
      <c r="AG17" s="52"/>
      <c r="AH17" s="52"/>
      <c r="AI17" s="52"/>
      <c r="AJ17" s="52"/>
      <c r="AK17" s="52"/>
      <c r="AL17" s="52"/>
      <c r="AM17" s="52" t="b">
        <v>0</v>
      </c>
      <c r="AN17" s="52"/>
      <c r="AO17" s="52"/>
      <c r="AP17" s="52"/>
      <c r="AQ17" s="52"/>
      <c r="AR17" s="52"/>
      <c r="AS17" s="52" t="b">
        <v>0</v>
      </c>
      <c r="AT17" s="52"/>
      <c r="AU17" s="52"/>
      <c r="AV17" s="52"/>
      <c r="AW17" s="52"/>
      <c r="AX17" s="52" t="str">
        <f t="shared" si="3"/>
        <v>ملتزم</v>
      </c>
      <c r="AY17" s="54" t="s">
        <v>77</v>
      </c>
      <c r="AZ17" s="43"/>
      <c r="BA17" s="70"/>
      <c r="BB17" s="70"/>
      <c r="BC17" s="70"/>
      <c r="BD17" s="54"/>
      <c r="BE17" s="54"/>
      <c r="BF17" s="54"/>
      <c r="BG17" s="54"/>
      <c r="BH17" s="54"/>
      <c r="BI17" s="54" t="s">
        <v>72</v>
      </c>
      <c r="BJ17" s="54">
        <f>(U17+V17+AE17)-BD17-BE17</f>
        <v>50000</v>
      </c>
      <c r="BK17" s="54"/>
    </row>
    <row r="18" spans="1:63" ht="34.5" hidden="1" customHeight="1" x14ac:dyDescent="0.25">
      <c r="A18" s="35" t="e">
        <f t="shared" si="0"/>
        <v>#VALUE!</v>
      </c>
      <c r="B18" s="36" t="s">
        <v>63</v>
      </c>
      <c r="C18" s="35"/>
      <c r="D18" s="37"/>
      <c r="E18" s="37" t="b">
        <v>0</v>
      </c>
      <c r="F18" s="37"/>
      <c r="G18" s="65"/>
      <c r="H18" s="35">
        <v>1</v>
      </c>
      <c r="I18" s="36">
        <v>107</v>
      </c>
      <c r="J18" s="92"/>
      <c r="K18" s="86"/>
      <c r="L18" s="87"/>
      <c r="M18" s="81"/>
      <c r="N18" s="35" t="s">
        <v>64</v>
      </c>
      <c r="O18" s="42" t="s">
        <v>65</v>
      </c>
      <c r="P18" s="35">
        <v>7.8</v>
      </c>
      <c r="Q18" s="35">
        <v>6.7</v>
      </c>
      <c r="R18" s="35">
        <f t="shared" si="6"/>
        <v>52.26</v>
      </c>
      <c r="S18" s="43">
        <v>22000</v>
      </c>
      <c r="T18" s="44"/>
      <c r="U18" s="45"/>
      <c r="V18" s="46">
        <v>26600</v>
      </c>
      <c r="W18" s="46"/>
      <c r="X18" s="94">
        <v>0</v>
      </c>
      <c r="Y18" s="89">
        <f t="shared" si="1"/>
        <v>0</v>
      </c>
      <c r="Z18" s="90">
        <v>0</v>
      </c>
      <c r="AA18" s="91">
        <f t="shared" si="2"/>
        <v>0</v>
      </c>
      <c r="AB18" s="91"/>
      <c r="AC18" s="88">
        <v>25300</v>
      </c>
      <c r="AD18" s="54">
        <f>S18*1.15-AC18</f>
        <v>0</v>
      </c>
      <c r="AE18" s="53">
        <f>S18*1.15+X18-AB18-AC18</f>
        <v>0</v>
      </c>
      <c r="AF18" s="54" t="b">
        <v>0</v>
      </c>
      <c r="AG18" s="54"/>
      <c r="AH18" s="54"/>
      <c r="AI18" s="54"/>
      <c r="AJ18" s="54"/>
      <c r="AK18" s="54"/>
      <c r="AL18" s="54"/>
      <c r="AM18" s="54" t="b">
        <v>0</v>
      </c>
      <c r="AN18" s="54"/>
      <c r="AO18" s="54"/>
      <c r="AP18" s="54"/>
      <c r="AQ18" s="54"/>
      <c r="AR18" s="54"/>
      <c r="AS18" s="54" t="b">
        <v>0</v>
      </c>
      <c r="AT18" s="54"/>
      <c r="AU18" s="54"/>
      <c r="AV18" s="54"/>
      <c r="AW18" s="54"/>
      <c r="AX18" s="54" t="str">
        <f t="shared" si="3"/>
        <v>ملتزم</v>
      </c>
      <c r="AY18" s="54" t="s">
        <v>69</v>
      </c>
      <c r="AZ18" s="43"/>
      <c r="BA18" s="70"/>
      <c r="BB18" s="70"/>
      <c r="BC18" s="70"/>
      <c r="BD18" s="54"/>
      <c r="BE18" s="54"/>
      <c r="BF18" s="54"/>
      <c r="BG18" s="54"/>
      <c r="BH18" s="54"/>
      <c r="BI18" s="54" t="s">
        <v>76</v>
      </c>
      <c r="BJ18" s="54">
        <f>(U18+V18+AE18)-BD18-BE18</f>
        <v>26600</v>
      </c>
      <c r="BK18" s="54"/>
    </row>
    <row r="19" spans="1:63" ht="34.5" hidden="1" customHeight="1" x14ac:dyDescent="0.25">
      <c r="A19" s="35" t="e">
        <f t="shared" si="0"/>
        <v>#VALUE!</v>
      </c>
      <c r="B19" s="36" t="s">
        <v>63</v>
      </c>
      <c r="C19" s="35"/>
      <c r="D19" s="37"/>
      <c r="E19" s="37" t="b">
        <v>0</v>
      </c>
      <c r="F19" s="37"/>
      <c r="G19" s="65"/>
      <c r="H19" s="35">
        <v>1</v>
      </c>
      <c r="I19" s="36">
        <v>120</v>
      </c>
      <c r="J19" s="95"/>
      <c r="K19" s="81"/>
      <c r="L19" s="81"/>
      <c r="M19" s="81"/>
      <c r="N19" s="35" t="s">
        <v>64</v>
      </c>
      <c r="O19" s="42" t="s">
        <v>84</v>
      </c>
      <c r="P19" s="35">
        <v>10</v>
      </c>
      <c r="Q19" s="35">
        <v>10</v>
      </c>
      <c r="R19" s="35">
        <f t="shared" si="6"/>
        <v>100</v>
      </c>
      <c r="S19" s="43">
        <v>28000</v>
      </c>
      <c r="T19" s="44">
        <f>S19*10/100</f>
        <v>2800</v>
      </c>
      <c r="U19" s="63">
        <f>S19+T19</f>
        <v>30800</v>
      </c>
      <c r="V19" s="46">
        <v>53555</v>
      </c>
      <c r="W19" s="46"/>
      <c r="X19" s="52">
        <v>37137</v>
      </c>
      <c r="Y19" s="48">
        <f t="shared" si="1"/>
        <v>32293.043478260872</v>
      </c>
      <c r="Z19" s="69">
        <v>0</v>
      </c>
      <c r="AA19" s="50">
        <f t="shared" si="2"/>
        <v>0</v>
      </c>
      <c r="AB19" s="50">
        <v>37137</v>
      </c>
      <c r="AC19" s="52">
        <v>32200</v>
      </c>
      <c r="AD19" s="52">
        <f>S19*1.15-AC19</f>
        <v>0</v>
      </c>
      <c r="AE19" s="53">
        <f>S19*1.15+X19-AB19-AC19</f>
        <v>0</v>
      </c>
      <c r="AF19" s="52" t="b">
        <v>0</v>
      </c>
      <c r="AG19" s="52"/>
      <c r="AH19" s="52"/>
      <c r="AI19" s="52"/>
      <c r="AJ19" s="52"/>
      <c r="AK19" s="52"/>
      <c r="AL19" s="52"/>
      <c r="AM19" s="52" t="b">
        <v>0</v>
      </c>
      <c r="AN19" s="52"/>
      <c r="AO19" s="52"/>
      <c r="AP19" s="52"/>
      <c r="AQ19" s="52"/>
      <c r="AR19" s="52"/>
      <c r="AS19" s="52" t="b">
        <v>0</v>
      </c>
      <c r="AT19" s="52"/>
      <c r="AU19" s="52"/>
      <c r="AV19" s="52"/>
      <c r="AW19" s="52"/>
      <c r="AX19" s="52" t="str">
        <f t="shared" si="3"/>
        <v>ملتزم</v>
      </c>
      <c r="AY19" s="54" t="s">
        <v>85</v>
      </c>
      <c r="AZ19" s="43" t="s">
        <v>86</v>
      </c>
      <c r="BA19" s="36" t="s">
        <v>87</v>
      </c>
      <c r="BB19" s="36"/>
      <c r="BC19" s="36"/>
      <c r="BD19" s="54"/>
      <c r="BE19" s="54"/>
      <c r="BF19" s="54"/>
      <c r="BG19" s="54"/>
      <c r="BH19" s="54"/>
      <c r="BI19" s="52" t="s">
        <v>76</v>
      </c>
      <c r="BJ19" s="54">
        <f>(U19+V19+AE19)-BD19-BE19</f>
        <v>84355</v>
      </c>
      <c r="BK19" s="54"/>
    </row>
    <row r="20" spans="1:63" ht="34.5" hidden="1" customHeight="1" x14ac:dyDescent="0.25">
      <c r="A20" s="35" t="e">
        <f t="shared" si="0"/>
        <v>#VALUE!</v>
      </c>
      <c r="B20" s="36" t="s">
        <v>63</v>
      </c>
      <c r="C20" s="35"/>
      <c r="D20" s="37"/>
      <c r="E20" s="37" t="b">
        <v>0</v>
      </c>
      <c r="F20" s="37"/>
      <c r="G20" s="65"/>
      <c r="H20" s="35">
        <v>1</v>
      </c>
      <c r="I20" s="36">
        <v>130</v>
      </c>
      <c r="J20" s="95"/>
      <c r="K20" s="87"/>
      <c r="L20" s="87"/>
      <c r="M20" s="81"/>
      <c r="N20" s="35" t="s">
        <v>64</v>
      </c>
      <c r="O20" s="42" t="s">
        <v>84</v>
      </c>
      <c r="P20" s="35">
        <v>9.9</v>
      </c>
      <c r="Q20" s="35">
        <v>9.9</v>
      </c>
      <c r="R20" s="35">
        <f t="shared" si="6"/>
        <v>98.01</v>
      </c>
      <c r="S20" s="43">
        <v>28000</v>
      </c>
      <c r="T20" s="44"/>
      <c r="U20" s="45"/>
      <c r="V20" s="46">
        <v>44105</v>
      </c>
      <c r="W20" s="46"/>
      <c r="X20" s="54"/>
      <c r="Y20" s="89">
        <f t="shared" si="1"/>
        <v>0</v>
      </c>
      <c r="Z20" s="96">
        <v>0</v>
      </c>
      <c r="AA20" s="91">
        <f t="shared" si="2"/>
        <v>0</v>
      </c>
      <c r="AB20" s="91"/>
      <c r="AC20" s="54">
        <v>32200</v>
      </c>
      <c r="AD20" s="54">
        <f>S20*1.15-AC20</f>
        <v>0</v>
      </c>
      <c r="AE20" s="53">
        <f>S20*1.15+X20-AB20-AC20</f>
        <v>0</v>
      </c>
      <c r="AF20" s="54" t="b">
        <v>0</v>
      </c>
      <c r="AG20" s="54"/>
      <c r="AH20" s="54"/>
      <c r="AI20" s="54"/>
      <c r="AJ20" s="54"/>
      <c r="AK20" s="54"/>
      <c r="AL20" s="54"/>
      <c r="AM20" s="54" t="b">
        <v>0</v>
      </c>
      <c r="AN20" s="54"/>
      <c r="AO20" s="54"/>
      <c r="AP20" s="54"/>
      <c r="AQ20" s="54"/>
      <c r="AR20" s="54"/>
      <c r="AS20" s="54" t="b">
        <v>0</v>
      </c>
      <c r="AT20" s="54"/>
      <c r="AU20" s="54"/>
      <c r="AV20" s="54"/>
      <c r="AW20" s="54"/>
      <c r="AX20" s="54" t="str">
        <f t="shared" si="3"/>
        <v>ملتزم</v>
      </c>
      <c r="AY20" s="54" t="s">
        <v>69</v>
      </c>
      <c r="AZ20" s="43"/>
      <c r="BA20" s="55" t="s">
        <v>75</v>
      </c>
      <c r="BB20" s="55"/>
      <c r="BC20" s="55"/>
      <c r="BD20" s="54"/>
      <c r="BE20" s="54"/>
      <c r="BF20" s="54"/>
      <c r="BG20" s="54"/>
      <c r="BH20" s="54"/>
      <c r="BI20" s="54" t="s">
        <v>76</v>
      </c>
      <c r="BJ20" s="54">
        <f>(U20+V20+AE20)-BD20-BE20</f>
        <v>44105</v>
      </c>
      <c r="BK20" s="54"/>
    </row>
    <row r="21" spans="1:63" ht="34.5" hidden="1" customHeight="1" x14ac:dyDescent="0.25">
      <c r="A21" s="35" t="e">
        <f t="shared" si="0"/>
        <v>#VALUE!</v>
      </c>
      <c r="B21" s="36" t="s">
        <v>63</v>
      </c>
      <c r="C21" s="35"/>
      <c r="D21" s="37"/>
      <c r="E21" s="37" t="b">
        <v>0</v>
      </c>
      <c r="F21" s="37"/>
      <c r="G21" s="65"/>
      <c r="H21" s="35">
        <v>1</v>
      </c>
      <c r="I21" s="36">
        <v>146</v>
      </c>
      <c r="J21" s="95"/>
      <c r="K21" s="81"/>
      <c r="L21" s="81"/>
      <c r="M21" s="81"/>
      <c r="N21" s="35" t="s">
        <v>64</v>
      </c>
      <c r="O21" s="42" t="s">
        <v>84</v>
      </c>
      <c r="P21" s="35">
        <v>9.9</v>
      </c>
      <c r="Q21" s="35">
        <v>9.9</v>
      </c>
      <c r="R21" s="35">
        <f t="shared" si="6"/>
        <v>98.01</v>
      </c>
      <c r="S21" s="43">
        <v>30000</v>
      </c>
      <c r="T21" s="44">
        <f>S21*10/100</f>
        <v>3000</v>
      </c>
      <c r="U21" s="63">
        <f>S21+T21</f>
        <v>33000</v>
      </c>
      <c r="V21" s="46">
        <v>44105</v>
      </c>
      <c r="W21" s="46"/>
      <c r="X21" s="52">
        <v>0</v>
      </c>
      <c r="Y21" s="48">
        <f t="shared" si="1"/>
        <v>0</v>
      </c>
      <c r="Z21" s="69">
        <v>0</v>
      </c>
      <c r="AA21" s="50">
        <f t="shared" si="2"/>
        <v>0</v>
      </c>
      <c r="AB21" s="50"/>
      <c r="AC21" s="52">
        <v>34500</v>
      </c>
      <c r="AD21" s="52">
        <f>S21*1.15-AC21</f>
        <v>0</v>
      </c>
      <c r="AE21" s="53">
        <f>S21*1.15+X21-AB21-AC21</f>
        <v>0</v>
      </c>
      <c r="AF21" s="52" t="b">
        <v>0</v>
      </c>
      <c r="AG21" s="52"/>
      <c r="AH21" s="52"/>
      <c r="AI21" s="52"/>
      <c r="AJ21" s="52"/>
      <c r="AK21" s="52"/>
      <c r="AL21" s="52"/>
      <c r="AM21" s="52" t="b">
        <v>0</v>
      </c>
      <c r="AN21" s="52"/>
      <c r="AO21" s="52"/>
      <c r="AP21" s="52"/>
      <c r="AQ21" s="52"/>
      <c r="AR21" s="52"/>
      <c r="AS21" s="52" t="b">
        <v>0</v>
      </c>
      <c r="AT21" s="52"/>
      <c r="AU21" s="52"/>
      <c r="AV21" s="52"/>
      <c r="AW21" s="52"/>
      <c r="AX21" s="52" t="str">
        <f t="shared" si="3"/>
        <v>ملتزم</v>
      </c>
      <c r="AY21" s="54" t="s">
        <v>77</v>
      </c>
      <c r="AZ21" s="43" t="s">
        <v>70</v>
      </c>
      <c r="BA21" s="55" t="s">
        <v>71</v>
      </c>
      <c r="BB21" s="55"/>
      <c r="BC21" s="55"/>
      <c r="BD21" s="54"/>
      <c r="BE21" s="54"/>
      <c r="BF21" s="54"/>
      <c r="BG21" s="54"/>
      <c r="BH21" s="54"/>
      <c r="BI21" s="54" t="s">
        <v>72</v>
      </c>
      <c r="BJ21" s="54">
        <f>(U21+V21+AE21)-BD21-BE21</f>
        <v>77105</v>
      </c>
      <c r="BK21" s="54"/>
    </row>
    <row r="22" spans="1:63" ht="34.5" hidden="1" customHeight="1" x14ac:dyDescent="0.25">
      <c r="A22" s="35" t="e">
        <f t="shared" si="0"/>
        <v>#VALUE!</v>
      </c>
      <c r="B22" s="56" t="s">
        <v>63</v>
      </c>
      <c r="C22" s="57"/>
      <c r="D22" s="37"/>
      <c r="E22" s="37" t="b">
        <v>0</v>
      </c>
      <c r="F22" s="37"/>
      <c r="G22" s="65"/>
      <c r="H22" s="42">
        <v>1</v>
      </c>
      <c r="I22" s="58" t="s">
        <v>88</v>
      </c>
      <c r="J22" s="97"/>
      <c r="K22" s="98"/>
      <c r="L22" s="98"/>
      <c r="M22" s="98"/>
      <c r="N22" s="35" t="s">
        <v>73</v>
      </c>
      <c r="O22" s="42" t="s">
        <v>74</v>
      </c>
      <c r="P22" s="35"/>
      <c r="Q22" s="35"/>
      <c r="R22" s="35"/>
      <c r="S22" s="62">
        <v>30000</v>
      </c>
      <c r="T22" s="44">
        <v>3000</v>
      </c>
      <c r="U22" s="63">
        <v>33000</v>
      </c>
      <c r="V22" s="99"/>
      <c r="W22" s="99"/>
      <c r="X22" s="51"/>
      <c r="Y22" s="48"/>
      <c r="Z22" s="49"/>
      <c r="AA22" s="50"/>
      <c r="AB22" s="50"/>
      <c r="AC22" s="51">
        <v>34500</v>
      </c>
      <c r="AD22" s="52"/>
      <c r="AE22" s="52">
        <v>0</v>
      </c>
      <c r="AF22" s="52" t="b">
        <v>0</v>
      </c>
      <c r="AG22" s="52"/>
      <c r="AH22" s="52"/>
      <c r="AI22" s="52"/>
      <c r="AJ22" s="52"/>
      <c r="AK22" s="52"/>
      <c r="AL22" s="52"/>
      <c r="AM22" s="52" t="b">
        <v>0</v>
      </c>
      <c r="AN22" s="52"/>
      <c r="AO22" s="52"/>
      <c r="AP22" s="52"/>
      <c r="AQ22" s="52"/>
      <c r="AR22" s="52"/>
      <c r="AS22" s="52" t="b">
        <v>0</v>
      </c>
      <c r="AT22" s="52"/>
      <c r="AU22" s="52"/>
      <c r="AV22" s="52"/>
      <c r="AW22" s="52"/>
      <c r="AX22" s="52"/>
      <c r="AY22" s="54"/>
      <c r="AZ22" s="43"/>
      <c r="BA22" s="55"/>
      <c r="BB22" s="55"/>
      <c r="BC22" s="55"/>
      <c r="BD22" s="54"/>
      <c r="BE22" s="54"/>
      <c r="BF22" s="54"/>
      <c r="BG22" s="54"/>
      <c r="BH22" s="54"/>
      <c r="BI22" s="54"/>
      <c r="BJ22" s="54"/>
      <c r="BK22" s="54"/>
    </row>
    <row r="23" spans="1:63" ht="34.5" hidden="1" customHeight="1" x14ac:dyDescent="0.25">
      <c r="A23" s="35" t="e">
        <f t="shared" si="0"/>
        <v>#VALUE!</v>
      </c>
      <c r="B23" s="56" t="s">
        <v>63</v>
      </c>
      <c r="C23" s="57"/>
      <c r="D23" s="37"/>
      <c r="E23" s="37" t="b">
        <v>0</v>
      </c>
      <c r="F23" s="37"/>
      <c r="G23" s="38"/>
      <c r="H23" s="42">
        <v>1</v>
      </c>
      <c r="I23" s="58" t="s">
        <v>89</v>
      </c>
      <c r="J23" s="97"/>
      <c r="K23" s="100"/>
      <c r="L23" s="100"/>
      <c r="M23" s="98"/>
      <c r="N23" s="35" t="s">
        <v>73</v>
      </c>
      <c r="O23" s="42" t="s">
        <v>74</v>
      </c>
      <c r="P23" s="35"/>
      <c r="Q23" s="35"/>
      <c r="R23" s="35"/>
      <c r="S23" s="62">
        <v>22000</v>
      </c>
      <c r="T23" s="44">
        <v>2200</v>
      </c>
      <c r="U23" s="63">
        <v>24200</v>
      </c>
      <c r="V23" s="64"/>
      <c r="W23" s="64"/>
      <c r="X23" s="101"/>
      <c r="Y23" s="48"/>
      <c r="Z23" s="102"/>
      <c r="AA23" s="50"/>
      <c r="AB23" s="50"/>
      <c r="AC23" s="51">
        <v>13370</v>
      </c>
      <c r="AD23" s="52"/>
      <c r="AE23" s="53"/>
      <c r="AF23" s="52" t="b">
        <v>0</v>
      </c>
      <c r="AG23" s="52"/>
      <c r="AH23" s="52"/>
      <c r="AI23" s="52"/>
      <c r="AJ23" s="52"/>
      <c r="AK23" s="52"/>
      <c r="AL23" s="52"/>
      <c r="AM23" s="52" t="b">
        <v>0</v>
      </c>
      <c r="AN23" s="52"/>
      <c r="AO23" s="52"/>
      <c r="AP23" s="52"/>
      <c r="AQ23" s="52"/>
      <c r="AR23" s="52"/>
      <c r="AS23" s="52" t="b">
        <v>0</v>
      </c>
      <c r="AT23" s="52"/>
      <c r="AU23" s="52"/>
      <c r="AV23" s="52"/>
      <c r="AW23" s="52"/>
      <c r="AX23" s="52"/>
      <c r="AY23" s="52"/>
      <c r="AZ23" s="43"/>
      <c r="BA23" s="70"/>
      <c r="BB23" s="70"/>
      <c r="BC23" s="70"/>
      <c r="BD23" s="52"/>
      <c r="BE23" s="52"/>
      <c r="BF23" s="52"/>
      <c r="BG23" s="52"/>
      <c r="BH23" s="52"/>
      <c r="BI23" s="54"/>
      <c r="BJ23" s="54"/>
      <c r="BK23" s="52"/>
    </row>
    <row r="24" spans="1:63" ht="34.5" hidden="1" customHeight="1" x14ac:dyDescent="0.25">
      <c r="A24" s="35" t="e">
        <f t="shared" si="0"/>
        <v>#VALUE!</v>
      </c>
      <c r="B24" s="74" t="s">
        <v>63</v>
      </c>
      <c r="C24" s="75"/>
      <c r="D24" s="37"/>
      <c r="E24" s="37" t="b">
        <v>0</v>
      </c>
      <c r="F24" s="37"/>
      <c r="G24" s="65"/>
      <c r="H24" s="76">
        <v>1</v>
      </c>
      <c r="I24" s="103" t="s">
        <v>90</v>
      </c>
      <c r="J24" s="78"/>
      <c r="K24" s="79"/>
      <c r="L24" s="79"/>
      <c r="M24" s="79"/>
      <c r="N24" s="35" t="s">
        <v>73</v>
      </c>
      <c r="O24" s="42" t="s">
        <v>74</v>
      </c>
      <c r="P24" s="35">
        <v>12</v>
      </c>
      <c r="Q24" s="35">
        <v>9.8000000000000007</v>
      </c>
      <c r="R24" s="35">
        <f t="shared" ref="R24:R29" si="9">P24*Q24</f>
        <v>117.60000000000001</v>
      </c>
      <c r="S24" s="80">
        <v>20000</v>
      </c>
      <c r="T24" s="44">
        <f t="shared" ref="T24:T27" si="10">S24*10/100</f>
        <v>2000</v>
      </c>
      <c r="U24" s="63">
        <f t="shared" ref="U24:U27" si="11">S24+T24</f>
        <v>22000</v>
      </c>
      <c r="V24" s="64"/>
      <c r="W24" s="64"/>
      <c r="X24" s="52">
        <v>0</v>
      </c>
      <c r="Y24" s="48">
        <f t="shared" ref="Y24:Y73" si="12">X24/1.15</f>
        <v>0</v>
      </c>
      <c r="Z24" s="69">
        <v>0</v>
      </c>
      <c r="AA24" s="50">
        <f t="shared" ref="AA24:AA61" si="13">Z24/1.15</f>
        <v>0</v>
      </c>
      <c r="AB24" s="50"/>
      <c r="AC24" s="52">
        <v>23000</v>
      </c>
      <c r="AD24" s="52">
        <f>S24*1.15-AC24</f>
        <v>0</v>
      </c>
      <c r="AE24" s="53">
        <f>S24*1.15+X24-AB24-AC24</f>
        <v>0</v>
      </c>
      <c r="AF24" s="52" t="b">
        <v>0</v>
      </c>
      <c r="AG24" s="52"/>
      <c r="AH24" s="52"/>
      <c r="AI24" s="52"/>
      <c r="AJ24" s="52"/>
      <c r="AK24" s="52"/>
      <c r="AL24" s="52"/>
      <c r="AM24" s="52" t="b">
        <v>0</v>
      </c>
      <c r="AN24" s="52"/>
      <c r="AO24" s="52"/>
      <c r="AP24" s="52"/>
      <c r="AQ24" s="52"/>
      <c r="AR24" s="52"/>
      <c r="AS24" s="52" t="b">
        <v>0</v>
      </c>
      <c r="AT24" s="52"/>
      <c r="AU24" s="52"/>
      <c r="AV24" s="52"/>
      <c r="AW24" s="52"/>
      <c r="AX24" s="52" t="str">
        <f t="shared" ref="AX24:AX95" si="14">IF(AE24&lt;=0,"ملتزم","غير ملتزم")</f>
        <v>ملتزم</v>
      </c>
      <c r="AY24" s="54" t="s">
        <v>77</v>
      </c>
      <c r="AZ24" s="43"/>
      <c r="BA24" s="55" t="s">
        <v>75</v>
      </c>
      <c r="BB24" s="55"/>
      <c r="BC24" s="55"/>
      <c r="BD24" s="54"/>
      <c r="BE24" s="54"/>
      <c r="BF24" s="54"/>
      <c r="BG24" s="54"/>
      <c r="BH24" s="54"/>
      <c r="BI24" s="54" t="s">
        <v>72</v>
      </c>
      <c r="BJ24" s="54">
        <f>(U24+V24+AE24)-BD24-BE24</f>
        <v>22000</v>
      </c>
      <c r="BK24" s="54"/>
    </row>
    <row r="25" spans="1:63" ht="34.5" hidden="1" customHeight="1" x14ac:dyDescent="0.25">
      <c r="A25" s="35" t="e">
        <f t="shared" si="0"/>
        <v>#VALUE!</v>
      </c>
      <c r="B25" s="74" t="s">
        <v>63</v>
      </c>
      <c r="C25" s="75"/>
      <c r="D25" s="104"/>
      <c r="E25" s="104" t="b">
        <v>0</v>
      </c>
      <c r="F25" s="104"/>
      <c r="G25" s="65"/>
      <c r="H25" s="76">
        <v>1</v>
      </c>
      <c r="I25" s="103" t="s">
        <v>91</v>
      </c>
      <c r="J25" s="78"/>
      <c r="K25" s="79"/>
      <c r="L25" s="79"/>
      <c r="M25" s="79"/>
      <c r="N25" s="35" t="s">
        <v>73</v>
      </c>
      <c r="O25" s="42" t="s">
        <v>92</v>
      </c>
      <c r="P25" s="35">
        <v>4</v>
      </c>
      <c r="Q25" s="35">
        <v>4</v>
      </c>
      <c r="R25" s="35">
        <f t="shared" si="9"/>
        <v>16</v>
      </c>
      <c r="S25" s="80">
        <v>5000</v>
      </c>
      <c r="T25" s="44">
        <f t="shared" si="10"/>
        <v>500</v>
      </c>
      <c r="U25" s="63">
        <f t="shared" si="11"/>
        <v>5500</v>
      </c>
      <c r="V25" s="64"/>
      <c r="W25" s="64"/>
      <c r="X25" s="52">
        <v>0</v>
      </c>
      <c r="Y25" s="48">
        <f t="shared" si="12"/>
        <v>0</v>
      </c>
      <c r="Z25" s="69">
        <v>0</v>
      </c>
      <c r="AA25" s="50">
        <f t="shared" si="13"/>
        <v>0</v>
      </c>
      <c r="AB25" s="50"/>
      <c r="AC25" s="52">
        <v>5750</v>
      </c>
      <c r="AD25" s="52">
        <f>S25*1.15-AC25</f>
        <v>0</v>
      </c>
      <c r="AE25" s="53">
        <f>S25*1.15+X25-AB25-AC25</f>
        <v>0</v>
      </c>
      <c r="AF25" s="52" t="b">
        <v>0</v>
      </c>
      <c r="AG25" s="52"/>
      <c r="AH25" s="52"/>
      <c r="AI25" s="52"/>
      <c r="AJ25" s="52"/>
      <c r="AK25" s="52"/>
      <c r="AL25" s="52"/>
      <c r="AM25" s="52" t="b">
        <v>0</v>
      </c>
      <c r="AN25" s="52"/>
      <c r="AO25" s="52"/>
      <c r="AP25" s="52"/>
      <c r="AQ25" s="52"/>
      <c r="AR25" s="52"/>
      <c r="AS25" s="52" t="b">
        <v>0</v>
      </c>
      <c r="AT25" s="52"/>
      <c r="AU25" s="52"/>
      <c r="AV25" s="52"/>
      <c r="AW25" s="52"/>
      <c r="AX25" s="52" t="str">
        <f t="shared" si="14"/>
        <v>ملتزم</v>
      </c>
      <c r="AY25" s="54" t="s">
        <v>77</v>
      </c>
      <c r="AZ25" s="43"/>
      <c r="BA25" s="54"/>
      <c r="BB25" s="54"/>
      <c r="BC25" s="54"/>
      <c r="BD25" s="54"/>
      <c r="BE25" s="54"/>
      <c r="BF25" s="54"/>
      <c r="BG25" s="54"/>
      <c r="BH25" s="54"/>
      <c r="BI25" s="54" t="s">
        <v>76</v>
      </c>
      <c r="BJ25" s="54">
        <f>(U25+V25+AE25)-BD25-BE25</f>
        <v>5500</v>
      </c>
      <c r="BK25" s="54"/>
    </row>
    <row r="26" spans="1:63" ht="34.5" hidden="1" customHeight="1" x14ac:dyDescent="0.25">
      <c r="A26" s="35" t="e">
        <f t="shared" si="0"/>
        <v>#VALUE!</v>
      </c>
      <c r="B26" s="35" t="s">
        <v>93</v>
      </c>
      <c r="C26" s="105"/>
      <c r="D26" s="37" t="s">
        <v>94</v>
      </c>
      <c r="E26" s="37" t="b">
        <v>0</v>
      </c>
      <c r="F26" s="37"/>
      <c r="G26" s="65"/>
      <c r="H26" s="35">
        <v>3</v>
      </c>
      <c r="I26" s="35" t="s">
        <v>95</v>
      </c>
      <c r="J26" s="95" t="s">
        <v>96</v>
      </c>
      <c r="K26" s="81">
        <v>7009430187</v>
      </c>
      <c r="L26" s="81">
        <v>505620369</v>
      </c>
      <c r="M26" s="81">
        <v>1014777666</v>
      </c>
      <c r="N26" s="35" t="s">
        <v>73</v>
      </c>
      <c r="O26" s="35" t="s">
        <v>97</v>
      </c>
      <c r="P26" s="35">
        <v>15.2</v>
      </c>
      <c r="Q26" s="35">
        <v>7.5</v>
      </c>
      <c r="R26" s="35">
        <f t="shared" si="9"/>
        <v>114</v>
      </c>
      <c r="S26" s="44">
        <v>90000</v>
      </c>
      <c r="T26" s="44">
        <f t="shared" si="10"/>
        <v>9000</v>
      </c>
      <c r="U26" s="63">
        <f t="shared" si="11"/>
        <v>99000</v>
      </c>
      <c r="V26" s="106"/>
      <c r="W26" s="106"/>
      <c r="X26" s="45">
        <v>124200</v>
      </c>
      <c r="Y26" s="48">
        <f t="shared" si="12"/>
        <v>108000.00000000001</v>
      </c>
      <c r="Z26" s="50">
        <v>0</v>
      </c>
      <c r="AA26" s="50">
        <f t="shared" si="13"/>
        <v>0</v>
      </c>
      <c r="AB26" s="50"/>
      <c r="AC26" s="52">
        <v>124200</v>
      </c>
      <c r="AD26" s="52">
        <f>S26*1.15-AC26</f>
        <v>-20700.000000000015</v>
      </c>
      <c r="AE26" s="53">
        <f>S26*1.15+X26-AB26-AC26</f>
        <v>103500</v>
      </c>
      <c r="AF26" s="52" t="b">
        <v>0</v>
      </c>
      <c r="AG26" s="52"/>
      <c r="AH26" s="52"/>
      <c r="AI26" s="52"/>
      <c r="AJ26" s="52"/>
      <c r="AK26" s="52"/>
      <c r="AL26" s="52"/>
      <c r="AM26" s="52" t="b">
        <v>0</v>
      </c>
      <c r="AN26" s="52"/>
      <c r="AO26" s="52"/>
      <c r="AP26" s="52"/>
      <c r="AQ26" s="52"/>
      <c r="AR26" s="52"/>
      <c r="AS26" s="52" t="b">
        <v>0</v>
      </c>
      <c r="AT26" s="52"/>
      <c r="AU26" s="52"/>
      <c r="AV26" s="52"/>
      <c r="AW26" s="52"/>
      <c r="AX26" s="52" t="str">
        <f t="shared" si="14"/>
        <v>غير ملتزم</v>
      </c>
      <c r="AY26" s="54" t="s">
        <v>85</v>
      </c>
      <c r="AZ26" s="43"/>
      <c r="BA26" s="107" t="s">
        <v>98</v>
      </c>
      <c r="BB26" s="107"/>
      <c r="BC26" s="107"/>
      <c r="BD26" s="54"/>
      <c r="BE26" s="68">
        <v>0</v>
      </c>
      <c r="BF26" s="54"/>
      <c r="BG26" s="54"/>
      <c r="BH26" s="54"/>
      <c r="BI26" s="54"/>
      <c r="BJ26" s="54">
        <f>(U26+V26+AE26)-BD26-BE26</f>
        <v>202500</v>
      </c>
      <c r="BK26" s="54"/>
    </row>
    <row r="27" spans="1:63" ht="34.5" hidden="1" customHeight="1" x14ac:dyDescent="0.25">
      <c r="A27" s="35" t="e">
        <f t="shared" si="0"/>
        <v>#VALUE!</v>
      </c>
      <c r="B27" s="35" t="s">
        <v>99</v>
      </c>
      <c r="C27" s="35"/>
      <c r="D27" s="37" t="s">
        <v>100</v>
      </c>
      <c r="E27" s="37" t="b">
        <v>0</v>
      </c>
      <c r="F27" s="37"/>
      <c r="G27" s="65">
        <v>45657</v>
      </c>
      <c r="H27" s="35">
        <v>1</v>
      </c>
      <c r="I27" s="35">
        <v>147</v>
      </c>
      <c r="J27" s="93" t="s">
        <v>101</v>
      </c>
      <c r="K27" s="85">
        <v>7012277377</v>
      </c>
      <c r="L27" s="81">
        <v>544074661</v>
      </c>
      <c r="M27" s="81">
        <v>1074834498</v>
      </c>
      <c r="N27" s="35" t="s">
        <v>64</v>
      </c>
      <c r="O27" s="42" t="s">
        <v>84</v>
      </c>
      <c r="P27" s="35">
        <v>8.1</v>
      </c>
      <c r="Q27" s="35">
        <v>7.7</v>
      </c>
      <c r="R27" s="35">
        <f t="shared" si="9"/>
        <v>62.37</v>
      </c>
      <c r="S27" s="43">
        <v>30000</v>
      </c>
      <c r="T27" s="44">
        <f t="shared" si="10"/>
        <v>3000</v>
      </c>
      <c r="U27" s="63">
        <f t="shared" si="11"/>
        <v>33000</v>
      </c>
      <c r="V27" s="46">
        <v>35500</v>
      </c>
      <c r="W27" s="46"/>
      <c r="X27" s="51">
        <v>15525</v>
      </c>
      <c r="Y27" s="48">
        <f t="shared" si="12"/>
        <v>13500.000000000002</v>
      </c>
      <c r="Z27" s="49">
        <v>0</v>
      </c>
      <c r="AA27" s="50">
        <f t="shared" si="13"/>
        <v>0</v>
      </c>
      <c r="AB27" s="50"/>
      <c r="AC27" s="51">
        <v>0</v>
      </c>
      <c r="AD27" s="52">
        <f>S27*1.15-AC27</f>
        <v>34500</v>
      </c>
      <c r="AE27" s="53">
        <f>S27*1.15+X27-AB27-AC27</f>
        <v>50025</v>
      </c>
      <c r="AF27" s="52" t="b">
        <v>0</v>
      </c>
      <c r="AG27" s="52"/>
      <c r="AH27" s="52"/>
      <c r="AI27" s="52"/>
      <c r="AJ27" s="52"/>
      <c r="AK27" s="52"/>
      <c r="AL27" s="52"/>
      <c r="AM27" s="52" t="b">
        <v>0</v>
      </c>
      <c r="AN27" s="52"/>
      <c r="AO27" s="52"/>
      <c r="AP27" s="52"/>
      <c r="AQ27" s="52"/>
      <c r="AR27" s="52"/>
      <c r="AS27" s="52" t="b">
        <v>0</v>
      </c>
      <c r="AT27" s="52"/>
      <c r="AU27" s="52"/>
      <c r="AV27" s="52"/>
      <c r="AW27" s="52"/>
      <c r="AX27" s="52" t="str">
        <f t="shared" si="14"/>
        <v>غير ملتزم</v>
      </c>
      <c r="AY27" s="54" t="s">
        <v>102</v>
      </c>
      <c r="AZ27" s="43" t="s">
        <v>70</v>
      </c>
      <c r="BA27" s="55" t="s">
        <v>71</v>
      </c>
      <c r="BB27" s="55"/>
      <c r="BC27" s="55"/>
      <c r="BD27" s="54"/>
      <c r="BE27" s="54"/>
      <c r="BF27" s="54"/>
      <c r="BG27" s="54"/>
      <c r="BH27" s="54"/>
      <c r="BI27" s="54" t="s">
        <v>76</v>
      </c>
      <c r="BJ27" s="54">
        <f>(U27+V27+AE27)-BD27-BE27</f>
        <v>118525</v>
      </c>
      <c r="BK27" s="54"/>
    </row>
    <row r="28" spans="1:63" ht="34.5" hidden="1" customHeight="1" x14ac:dyDescent="0.25">
      <c r="A28" s="35" t="e">
        <f t="shared" si="0"/>
        <v>#VALUE!</v>
      </c>
      <c r="B28" s="35" t="s">
        <v>99</v>
      </c>
      <c r="C28" s="35">
        <v>20584372313</v>
      </c>
      <c r="D28" s="37" t="s">
        <v>100</v>
      </c>
      <c r="E28" s="37" t="b">
        <v>0</v>
      </c>
      <c r="F28" s="37"/>
      <c r="G28" s="65">
        <v>45657</v>
      </c>
      <c r="H28" s="35">
        <v>1</v>
      </c>
      <c r="I28" s="35">
        <v>159</v>
      </c>
      <c r="J28" s="95" t="s">
        <v>101</v>
      </c>
      <c r="K28" s="87">
        <v>7012277377</v>
      </c>
      <c r="L28" s="87">
        <v>544074661</v>
      </c>
      <c r="M28" s="81">
        <v>1074834498</v>
      </c>
      <c r="N28" s="35" t="s">
        <v>64</v>
      </c>
      <c r="O28" s="42" t="s">
        <v>84</v>
      </c>
      <c r="P28" s="35">
        <v>9.1999999999999993</v>
      </c>
      <c r="Q28" s="35">
        <v>8.5500000000000007</v>
      </c>
      <c r="R28" s="35">
        <f t="shared" si="9"/>
        <v>78.66</v>
      </c>
      <c r="S28" s="43">
        <v>30000</v>
      </c>
      <c r="T28" s="44"/>
      <c r="U28" s="45"/>
      <c r="V28" s="46">
        <v>37500</v>
      </c>
      <c r="W28" s="46"/>
      <c r="X28" s="94"/>
      <c r="Y28" s="89">
        <f t="shared" si="12"/>
        <v>0</v>
      </c>
      <c r="Z28" s="90">
        <v>0</v>
      </c>
      <c r="AA28" s="91">
        <f t="shared" si="13"/>
        <v>0</v>
      </c>
      <c r="AB28" s="91"/>
      <c r="AC28" s="88">
        <v>17250</v>
      </c>
      <c r="AD28" s="54">
        <f>S28*1.15-AC28</f>
        <v>17250</v>
      </c>
      <c r="AE28" s="53">
        <f>S28*1.15+X28-AB28-AC28</f>
        <v>17250</v>
      </c>
      <c r="AF28" s="54" t="b">
        <v>0</v>
      </c>
      <c r="AG28" s="54"/>
      <c r="AH28" s="54"/>
      <c r="AI28" s="54"/>
      <c r="AJ28" s="54"/>
      <c r="AK28" s="54"/>
      <c r="AL28" s="54"/>
      <c r="AM28" s="54" t="b">
        <v>0</v>
      </c>
      <c r="AN28" s="54"/>
      <c r="AO28" s="54"/>
      <c r="AP28" s="54"/>
      <c r="AQ28" s="54"/>
      <c r="AR28" s="54"/>
      <c r="AS28" s="54" t="b">
        <v>0</v>
      </c>
      <c r="AT28" s="54"/>
      <c r="AU28" s="54"/>
      <c r="AV28" s="54"/>
      <c r="AW28" s="54"/>
      <c r="AX28" s="54" t="str">
        <f t="shared" si="14"/>
        <v>غير ملتزم</v>
      </c>
      <c r="AY28" s="54" t="s">
        <v>69</v>
      </c>
      <c r="AZ28" s="43" t="s">
        <v>103</v>
      </c>
      <c r="BA28" s="55" t="s">
        <v>104</v>
      </c>
      <c r="BB28" s="55"/>
      <c r="BC28" s="55"/>
      <c r="BD28" s="54"/>
      <c r="BE28" s="54"/>
      <c r="BF28" s="54"/>
      <c r="BG28" s="54"/>
      <c r="BH28" s="54"/>
      <c r="BI28" s="54" t="s">
        <v>76</v>
      </c>
      <c r="BJ28" s="54">
        <f>(U28+V28+AE28)-BD28-BE28</f>
        <v>54750</v>
      </c>
      <c r="BK28" s="54"/>
    </row>
    <row r="29" spans="1:63" ht="34.5" hidden="1" customHeight="1" x14ac:dyDescent="0.25">
      <c r="A29" s="35" t="e">
        <f t="shared" si="0"/>
        <v>#VALUE!</v>
      </c>
      <c r="B29" s="35" t="s">
        <v>105</v>
      </c>
      <c r="C29" s="108"/>
      <c r="D29" s="37" t="s">
        <v>106</v>
      </c>
      <c r="E29" s="37" t="b">
        <v>0</v>
      </c>
      <c r="F29" s="37"/>
      <c r="G29" s="65">
        <v>46022</v>
      </c>
      <c r="H29" s="35">
        <v>1</v>
      </c>
      <c r="I29" s="35">
        <v>45</v>
      </c>
      <c r="J29" s="95">
        <v>24983</v>
      </c>
      <c r="K29" s="81">
        <v>7005213652</v>
      </c>
      <c r="L29" s="81">
        <v>500623860</v>
      </c>
      <c r="M29" s="81">
        <v>2117912200</v>
      </c>
      <c r="N29" s="35" t="s">
        <v>64</v>
      </c>
      <c r="O29" s="42" t="s">
        <v>97</v>
      </c>
      <c r="P29" s="35">
        <v>7.8</v>
      </c>
      <c r="Q29" s="35">
        <v>4.7</v>
      </c>
      <c r="R29" s="35">
        <f t="shared" si="9"/>
        <v>36.660000000000004</v>
      </c>
      <c r="S29" s="43">
        <v>40000</v>
      </c>
      <c r="T29" s="44">
        <f t="shared" ref="T29:T30" si="15">S29*10/100</f>
        <v>4000</v>
      </c>
      <c r="U29" s="63">
        <f t="shared" ref="U29:U37" si="16">S29+T29</f>
        <v>44000</v>
      </c>
      <c r="V29" s="106"/>
      <c r="W29" s="106"/>
      <c r="X29" s="52">
        <v>5365</v>
      </c>
      <c r="Y29" s="48">
        <f t="shared" si="12"/>
        <v>4665.217391304348</v>
      </c>
      <c r="Z29" s="69">
        <v>0</v>
      </c>
      <c r="AA29" s="50">
        <f t="shared" si="13"/>
        <v>0</v>
      </c>
      <c r="AB29" s="50"/>
      <c r="AC29" s="52">
        <v>51365</v>
      </c>
      <c r="AD29" s="52">
        <f>S29*1.15-AC29</f>
        <v>-5365</v>
      </c>
      <c r="AE29" s="53">
        <f>S29*1.15+X29-AB29-AC29</f>
        <v>0</v>
      </c>
      <c r="AF29" s="52" t="b">
        <v>0</v>
      </c>
      <c r="AG29" s="52"/>
      <c r="AH29" s="52"/>
      <c r="AI29" s="52"/>
      <c r="AJ29" s="52"/>
      <c r="AK29" s="52"/>
      <c r="AL29" s="52"/>
      <c r="AM29" s="52" t="b">
        <v>0</v>
      </c>
      <c r="AN29" s="52"/>
      <c r="AO29" s="52"/>
      <c r="AP29" s="52"/>
      <c r="AQ29" s="52"/>
      <c r="AR29" s="52"/>
      <c r="AS29" s="52" t="b">
        <v>0</v>
      </c>
      <c r="AT29" s="52"/>
      <c r="AU29" s="52"/>
      <c r="AV29" s="52"/>
      <c r="AW29" s="52"/>
      <c r="AX29" s="52" t="str">
        <f t="shared" si="14"/>
        <v>ملتزم</v>
      </c>
      <c r="AY29" s="54" t="s">
        <v>77</v>
      </c>
      <c r="AZ29" s="43" t="s">
        <v>107</v>
      </c>
      <c r="BA29" s="55"/>
      <c r="BB29" s="55"/>
      <c r="BC29" s="55"/>
      <c r="BD29" s="54"/>
      <c r="BE29" s="68"/>
      <c r="BF29" s="54"/>
      <c r="BG29" s="54"/>
      <c r="BH29" s="54"/>
      <c r="BI29" s="54" t="s">
        <v>76</v>
      </c>
      <c r="BJ29" s="54">
        <f>(U29+V29+AE29)-BD29-BE29</f>
        <v>44000</v>
      </c>
      <c r="BK29" s="54"/>
    </row>
    <row r="30" spans="1:63" ht="34.5" hidden="1" customHeight="1" x14ac:dyDescent="0.25">
      <c r="A30" s="35" t="e">
        <f t="shared" si="0"/>
        <v>#VALUE!</v>
      </c>
      <c r="B30" s="75" t="s">
        <v>108</v>
      </c>
      <c r="C30" s="75"/>
      <c r="D30" s="37" t="s">
        <v>106</v>
      </c>
      <c r="E30" s="37" t="b">
        <v>0</v>
      </c>
      <c r="F30" s="37"/>
      <c r="G30" s="65">
        <v>46022</v>
      </c>
      <c r="H30" s="76">
        <v>1</v>
      </c>
      <c r="I30" s="76">
        <v>80</v>
      </c>
      <c r="J30" s="79"/>
      <c r="K30" s="109">
        <v>7010525421</v>
      </c>
      <c r="L30" s="109">
        <v>508611863</v>
      </c>
      <c r="M30" s="81">
        <v>21111242570</v>
      </c>
      <c r="N30" s="35" t="s">
        <v>73</v>
      </c>
      <c r="O30" s="42" t="s">
        <v>74</v>
      </c>
      <c r="P30" s="35"/>
      <c r="Q30" s="35"/>
      <c r="R30" s="35">
        <v>97.7</v>
      </c>
      <c r="S30" s="80">
        <v>35000</v>
      </c>
      <c r="T30" s="44">
        <f t="shared" si="15"/>
        <v>3500</v>
      </c>
      <c r="U30" s="63">
        <f t="shared" si="16"/>
        <v>38500</v>
      </c>
      <c r="V30" s="64"/>
      <c r="W30" s="64"/>
      <c r="X30" s="52"/>
      <c r="Y30" s="48">
        <f t="shared" si="12"/>
        <v>0</v>
      </c>
      <c r="Z30" s="69">
        <v>0</v>
      </c>
      <c r="AA30" s="50">
        <f t="shared" si="13"/>
        <v>0</v>
      </c>
      <c r="AB30" s="50"/>
      <c r="AC30" s="52">
        <v>40250</v>
      </c>
      <c r="AD30" s="52">
        <f>S30*1.15-AC30</f>
        <v>0</v>
      </c>
      <c r="AE30" s="53">
        <f>S30*1.15+X30-AB30-AC30</f>
        <v>0</v>
      </c>
      <c r="AF30" s="52" t="b">
        <v>0</v>
      </c>
      <c r="AG30" s="52"/>
      <c r="AH30" s="52"/>
      <c r="AI30" s="52"/>
      <c r="AJ30" s="52"/>
      <c r="AK30" s="52"/>
      <c r="AL30" s="52"/>
      <c r="AM30" s="52" t="b">
        <v>0</v>
      </c>
      <c r="AN30" s="52"/>
      <c r="AO30" s="52"/>
      <c r="AP30" s="52"/>
      <c r="AQ30" s="52"/>
      <c r="AR30" s="52"/>
      <c r="AS30" s="52" t="b">
        <v>0</v>
      </c>
      <c r="AT30" s="52"/>
      <c r="AU30" s="52"/>
      <c r="AV30" s="52"/>
      <c r="AW30" s="52"/>
      <c r="AX30" s="52" t="str">
        <f t="shared" si="14"/>
        <v>ملتزم</v>
      </c>
      <c r="AY30" s="54" t="s">
        <v>69</v>
      </c>
      <c r="AZ30" s="43" t="s">
        <v>107</v>
      </c>
      <c r="BA30" s="70" t="s">
        <v>109</v>
      </c>
      <c r="BB30" s="70"/>
      <c r="BC30" s="70"/>
      <c r="BD30" s="54"/>
      <c r="BE30" s="68">
        <v>22255</v>
      </c>
      <c r="BF30" s="54"/>
      <c r="BG30" s="54"/>
      <c r="BH30" s="54"/>
      <c r="BI30" s="52" t="s">
        <v>72</v>
      </c>
      <c r="BJ30" s="54">
        <f>(U30+V30+AE30)-BD30-BE30</f>
        <v>16245</v>
      </c>
      <c r="BK30" s="54"/>
    </row>
    <row r="31" spans="1:63" ht="34.5" hidden="1" customHeight="1" x14ac:dyDescent="0.25">
      <c r="A31" s="35" t="e">
        <f t="shared" si="0"/>
        <v>#VALUE!</v>
      </c>
      <c r="B31" s="35" t="s">
        <v>108</v>
      </c>
      <c r="C31" s="105">
        <v>20683407896</v>
      </c>
      <c r="D31" s="37" t="s">
        <v>106</v>
      </c>
      <c r="E31" s="37" t="b">
        <v>0</v>
      </c>
      <c r="F31" s="37"/>
      <c r="G31" s="65">
        <v>46022</v>
      </c>
      <c r="H31" s="35">
        <v>2</v>
      </c>
      <c r="I31" s="35" t="s">
        <v>110</v>
      </c>
      <c r="J31" s="110">
        <v>23012</v>
      </c>
      <c r="K31" s="81">
        <v>7010525421</v>
      </c>
      <c r="L31" s="81">
        <v>509940412</v>
      </c>
      <c r="M31" s="81">
        <v>2111242570</v>
      </c>
      <c r="N31" s="35" t="s">
        <v>73</v>
      </c>
      <c r="O31" s="35" t="s">
        <v>97</v>
      </c>
      <c r="P31" s="35">
        <v>8.6300000000000008</v>
      </c>
      <c r="Q31" s="35">
        <v>4.7699999999999996</v>
      </c>
      <c r="R31" s="35">
        <f t="shared" ref="R31:R35" si="17">P31*Q31</f>
        <v>41.165100000000002</v>
      </c>
      <c r="S31" s="44">
        <v>60000</v>
      </c>
      <c r="T31" s="44">
        <f t="shared" ref="T31:T32" si="18">S31*20/100</f>
        <v>12000</v>
      </c>
      <c r="U31" s="63">
        <f t="shared" si="16"/>
        <v>72000</v>
      </c>
      <c r="V31" s="106"/>
      <c r="W31" s="106"/>
      <c r="X31" s="52">
        <v>0</v>
      </c>
      <c r="Y31" s="48">
        <f t="shared" si="12"/>
        <v>0</v>
      </c>
      <c r="Z31" s="50">
        <v>0</v>
      </c>
      <c r="AA31" s="50">
        <f t="shared" si="13"/>
        <v>0</v>
      </c>
      <c r="AB31" s="50"/>
      <c r="AC31" s="52">
        <v>69000</v>
      </c>
      <c r="AD31" s="52">
        <f>S31*1.15-AC31</f>
        <v>0</v>
      </c>
      <c r="AE31" s="52">
        <f>S31*1.15+X31-AB31-AC31</f>
        <v>0</v>
      </c>
      <c r="AF31" s="52" t="b">
        <v>0</v>
      </c>
      <c r="AG31" s="52"/>
      <c r="AH31" s="52"/>
      <c r="AI31" s="52"/>
      <c r="AJ31" s="52"/>
      <c r="AK31" s="52"/>
      <c r="AL31" s="52"/>
      <c r="AM31" s="52" t="b">
        <v>0</v>
      </c>
      <c r="AN31" s="52"/>
      <c r="AO31" s="52"/>
      <c r="AP31" s="52"/>
      <c r="AQ31" s="52"/>
      <c r="AR31" s="52"/>
      <c r="AS31" s="52" t="b">
        <v>0</v>
      </c>
      <c r="AT31" s="52"/>
      <c r="AU31" s="52"/>
      <c r="AV31" s="52"/>
      <c r="AW31" s="52"/>
      <c r="AX31" s="52" t="str">
        <f t="shared" si="14"/>
        <v>ملتزم</v>
      </c>
      <c r="AY31" s="54" t="s">
        <v>69</v>
      </c>
      <c r="AZ31" s="43" t="s">
        <v>107</v>
      </c>
      <c r="BA31" s="55"/>
      <c r="BB31" s="55"/>
      <c r="BC31" s="55"/>
      <c r="BD31" s="54"/>
      <c r="BE31" s="68">
        <v>41515</v>
      </c>
      <c r="BF31" s="54"/>
      <c r="BG31" s="54"/>
      <c r="BH31" s="54"/>
      <c r="BI31" s="54" t="s">
        <v>76</v>
      </c>
      <c r="BJ31" s="54">
        <f>(U31+V31+AE31)-BD31-BE31</f>
        <v>30485</v>
      </c>
      <c r="BK31" s="54"/>
    </row>
    <row r="32" spans="1:63" ht="34.5" hidden="1" customHeight="1" x14ac:dyDescent="0.25">
      <c r="A32" s="35" t="e">
        <f t="shared" si="0"/>
        <v>#VALUE!</v>
      </c>
      <c r="B32" s="35" t="s">
        <v>111</v>
      </c>
      <c r="C32" s="111">
        <v>20447642103</v>
      </c>
      <c r="D32" s="37" t="s">
        <v>106</v>
      </c>
      <c r="E32" s="37" t="b">
        <v>0</v>
      </c>
      <c r="F32" s="37"/>
      <c r="G32" s="65">
        <v>46022</v>
      </c>
      <c r="H32" s="35">
        <v>1</v>
      </c>
      <c r="I32" s="35">
        <v>13</v>
      </c>
      <c r="J32" s="110">
        <v>25204</v>
      </c>
      <c r="K32" s="87">
        <v>7013092957</v>
      </c>
      <c r="L32" s="87">
        <v>50695274</v>
      </c>
      <c r="M32" s="81">
        <v>2062459447</v>
      </c>
      <c r="N32" s="35" t="s">
        <v>64</v>
      </c>
      <c r="O32" s="42" t="s">
        <v>97</v>
      </c>
      <c r="P32" s="35">
        <v>6</v>
      </c>
      <c r="Q32" s="35">
        <v>4.2699999999999996</v>
      </c>
      <c r="R32" s="35">
        <f t="shared" si="17"/>
        <v>25.619999999999997</v>
      </c>
      <c r="S32" s="43">
        <v>34200</v>
      </c>
      <c r="T32" s="44">
        <f t="shared" si="18"/>
        <v>6840</v>
      </c>
      <c r="U32" s="63">
        <f t="shared" si="16"/>
        <v>41040</v>
      </c>
      <c r="V32" s="106"/>
      <c r="W32" s="106"/>
      <c r="X32" s="52">
        <v>0</v>
      </c>
      <c r="Y32" s="48">
        <f t="shared" si="12"/>
        <v>0</v>
      </c>
      <c r="Z32" s="69">
        <v>0</v>
      </c>
      <c r="AA32" s="50">
        <f t="shared" si="13"/>
        <v>0</v>
      </c>
      <c r="AB32" s="50"/>
      <c r="AC32" s="52">
        <v>39330</v>
      </c>
      <c r="AD32" s="52">
        <f>S32*1.15-AC32</f>
        <v>0</v>
      </c>
      <c r="AE32" s="52">
        <f>S32*1.15+X32-AB32-AC32</f>
        <v>0</v>
      </c>
      <c r="AF32" s="52" t="b">
        <v>0</v>
      </c>
      <c r="AG32" s="52"/>
      <c r="AH32" s="52"/>
      <c r="AI32" s="52"/>
      <c r="AJ32" s="52"/>
      <c r="AK32" s="52"/>
      <c r="AL32" s="52"/>
      <c r="AM32" s="52" t="b">
        <v>0</v>
      </c>
      <c r="AN32" s="52"/>
      <c r="AO32" s="52"/>
      <c r="AP32" s="52"/>
      <c r="AQ32" s="52"/>
      <c r="AR32" s="52"/>
      <c r="AS32" s="52" t="b">
        <v>0</v>
      </c>
      <c r="AT32" s="52"/>
      <c r="AU32" s="52"/>
      <c r="AV32" s="52"/>
      <c r="AW32" s="52"/>
      <c r="AX32" s="52" t="str">
        <f t="shared" si="14"/>
        <v>ملتزم</v>
      </c>
      <c r="AY32" s="54" t="s">
        <v>69</v>
      </c>
      <c r="AZ32" s="43" t="s">
        <v>107</v>
      </c>
      <c r="BA32" s="55"/>
      <c r="BB32" s="55"/>
      <c r="BC32" s="55"/>
      <c r="BD32" s="54"/>
      <c r="BE32" s="68">
        <v>35568</v>
      </c>
      <c r="BF32" s="54"/>
      <c r="BG32" s="54"/>
      <c r="BH32" s="54"/>
      <c r="BI32" s="54" t="s">
        <v>112</v>
      </c>
      <c r="BJ32" s="54">
        <f>(U32+V32+AE32)-BD32-BE32</f>
        <v>5472</v>
      </c>
      <c r="BK32" s="54" t="s">
        <v>113</v>
      </c>
    </row>
    <row r="33" spans="1:63" ht="34.5" hidden="1" customHeight="1" x14ac:dyDescent="0.25">
      <c r="A33" s="35" t="e">
        <f t="shared" si="0"/>
        <v>#VALUE!</v>
      </c>
      <c r="B33" s="35" t="s">
        <v>114</v>
      </c>
      <c r="C33" s="105">
        <v>20379986627</v>
      </c>
      <c r="D33" s="37" t="s">
        <v>106</v>
      </c>
      <c r="E33" s="37" t="b">
        <v>0</v>
      </c>
      <c r="F33" s="37"/>
      <c r="G33" s="65">
        <v>46022</v>
      </c>
      <c r="H33" s="35">
        <v>4</v>
      </c>
      <c r="I33" s="35" t="s">
        <v>115</v>
      </c>
      <c r="J33" s="93" t="s">
        <v>116</v>
      </c>
      <c r="K33" s="86">
        <v>7011229536</v>
      </c>
      <c r="L33" s="87">
        <v>549662254</v>
      </c>
      <c r="M33" s="81">
        <v>1004803324</v>
      </c>
      <c r="N33" s="35" t="s">
        <v>73</v>
      </c>
      <c r="O33" s="35" t="s">
        <v>97</v>
      </c>
      <c r="P33" s="35">
        <v>10.3</v>
      </c>
      <c r="Q33" s="35">
        <v>8</v>
      </c>
      <c r="R33" s="35">
        <f t="shared" si="17"/>
        <v>82.4</v>
      </c>
      <c r="S33" s="43">
        <v>120000</v>
      </c>
      <c r="T33" s="44">
        <f t="shared" ref="T33:T34" si="19">S33*10/100</f>
        <v>12000</v>
      </c>
      <c r="U33" s="63">
        <f t="shared" si="16"/>
        <v>132000</v>
      </c>
      <c r="V33" s="106"/>
      <c r="W33" s="106"/>
      <c r="X33" s="52">
        <v>0</v>
      </c>
      <c r="Y33" s="48">
        <f t="shared" si="12"/>
        <v>0</v>
      </c>
      <c r="Z33" s="50">
        <v>0</v>
      </c>
      <c r="AA33" s="50">
        <f t="shared" si="13"/>
        <v>0</v>
      </c>
      <c r="AB33" s="50"/>
      <c r="AC33" s="52">
        <v>138000</v>
      </c>
      <c r="AD33" s="52">
        <f>S33*1.15-AC33</f>
        <v>0</v>
      </c>
      <c r="AE33" s="53">
        <f>S33*1.15+X33-AB33-AC33</f>
        <v>0</v>
      </c>
      <c r="AF33" s="52" t="b">
        <v>0</v>
      </c>
      <c r="AG33" s="52"/>
      <c r="AH33" s="52"/>
      <c r="AI33" s="52"/>
      <c r="AJ33" s="52"/>
      <c r="AK33" s="52"/>
      <c r="AL33" s="52"/>
      <c r="AM33" s="52" t="b">
        <v>0</v>
      </c>
      <c r="AN33" s="52"/>
      <c r="AO33" s="52"/>
      <c r="AP33" s="52"/>
      <c r="AQ33" s="52"/>
      <c r="AR33" s="52"/>
      <c r="AS33" s="52" t="b">
        <v>0</v>
      </c>
      <c r="AT33" s="52"/>
      <c r="AU33" s="52"/>
      <c r="AV33" s="52"/>
      <c r="AW33" s="52"/>
      <c r="AX33" s="52" t="str">
        <f t="shared" si="14"/>
        <v>ملتزم</v>
      </c>
      <c r="AY33" s="54" t="s">
        <v>69</v>
      </c>
      <c r="AZ33" s="43" t="s">
        <v>107</v>
      </c>
      <c r="BA33" s="70"/>
      <c r="BB33" s="70"/>
      <c r="BC33" s="70"/>
      <c r="BD33" s="54"/>
      <c r="BE33" s="68">
        <v>75900</v>
      </c>
      <c r="BF33" s="54"/>
      <c r="BG33" s="54"/>
      <c r="BH33" s="54"/>
      <c r="BI33" s="54" t="s">
        <v>72</v>
      </c>
      <c r="BJ33" s="54">
        <f>(U33+V33+AE33)-BD33-BE33</f>
        <v>56100</v>
      </c>
      <c r="BK33" s="54" t="s">
        <v>79</v>
      </c>
    </row>
    <row r="34" spans="1:63" ht="34.5" hidden="1" customHeight="1" x14ac:dyDescent="0.25">
      <c r="A34" s="35" t="e">
        <f t="shared" si="0"/>
        <v>#VALUE!</v>
      </c>
      <c r="B34" s="35" t="s">
        <v>117</v>
      </c>
      <c r="C34" s="105">
        <v>20306130624</v>
      </c>
      <c r="D34" s="37" t="s">
        <v>106</v>
      </c>
      <c r="E34" s="37" t="b">
        <v>0</v>
      </c>
      <c r="F34" s="37"/>
      <c r="G34" s="65">
        <v>46022</v>
      </c>
      <c r="H34" s="35">
        <v>2</v>
      </c>
      <c r="I34" s="35" t="s">
        <v>118</v>
      </c>
      <c r="J34" s="95" t="s">
        <v>119</v>
      </c>
      <c r="K34" s="87">
        <v>7016695657</v>
      </c>
      <c r="L34" s="87">
        <v>568576677</v>
      </c>
      <c r="M34" s="81">
        <v>1004081194</v>
      </c>
      <c r="N34" s="35" t="s">
        <v>73</v>
      </c>
      <c r="O34" s="35" t="s">
        <v>97</v>
      </c>
      <c r="P34" s="35">
        <v>10.6</v>
      </c>
      <c r="Q34" s="35">
        <v>4.6500000000000004</v>
      </c>
      <c r="R34" s="35">
        <f t="shared" si="17"/>
        <v>49.29</v>
      </c>
      <c r="S34" s="43">
        <v>60000</v>
      </c>
      <c r="T34" s="44">
        <f t="shared" si="19"/>
        <v>6000</v>
      </c>
      <c r="U34" s="63">
        <f t="shared" si="16"/>
        <v>66000</v>
      </c>
      <c r="V34" s="106"/>
      <c r="W34" s="106"/>
      <c r="X34" s="52">
        <v>0</v>
      </c>
      <c r="Y34" s="48">
        <f t="shared" si="12"/>
        <v>0</v>
      </c>
      <c r="Z34" s="50">
        <v>0</v>
      </c>
      <c r="AA34" s="50">
        <f t="shared" si="13"/>
        <v>0</v>
      </c>
      <c r="AB34" s="50">
        <v>0</v>
      </c>
      <c r="AC34" s="52">
        <v>69000</v>
      </c>
      <c r="AD34" s="52">
        <f>S34*1.15-AC34</f>
        <v>0</v>
      </c>
      <c r="AE34" s="53">
        <f>S34*1.15+X34-AB34-AC34</f>
        <v>0</v>
      </c>
      <c r="AF34" s="52" t="b">
        <v>0</v>
      </c>
      <c r="AG34" s="52"/>
      <c r="AH34" s="52"/>
      <c r="AI34" s="52"/>
      <c r="AJ34" s="52"/>
      <c r="AK34" s="52"/>
      <c r="AL34" s="52"/>
      <c r="AM34" s="52" t="b">
        <v>0</v>
      </c>
      <c r="AN34" s="52"/>
      <c r="AO34" s="52"/>
      <c r="AP34" s="52"/>
      <c r="AQ34" s="52"/>
      <c r="AR34" s="52"/>
      <c r="AS34" s="52" t="b">
        <v>0</v>
      </c>
      <c r="AT34" s="52"/>
      <c r="AU34" s="52"/>
      <c r="AV34" s="52"/>
      <c r="AW34" s="52"/>
      <c r="AX34" s="52" t="str">
        <f t="shared" si="14"/>
        <v>ملتزم</v>
      </c>
      <c r="AY34" s="54" t="s">
        <v>69</v>
      </c>
      <c r="AZ34" s="43" t="s">
        <v>107</v>
      </c>
      <c r="BA34" s="55"/>
      <c r="BB34" s="55"/>
      <c r="BC34" s="55"/>
      <c r="BD34" s="54"/>
      <c r="BE34" s="68">
        <v>38065</v>
      </c>
      <c r="BF34" s="54"/>
      <c r="BG34" s="54"/>
      <c r="BH34" s="54"/>
      <c r="BI34" s="54" t="s">
        <v>112</v>
      </c>
      <c r="BJ34" s="54">
        <f>(U34+V34+AE34)-BD34-BE34</f>
        <v>27935</v>
      </c>
      <c r="BK34" s="54"/>
    </row>
    <row r="35" spans="1:63" ht="34.5" hidden="1" customHeight="1" x14ac:dyDescent="0.25">
      <c r="A35" s="35" t="e">
        <f t="shared" si="0"/>
        <v>#VALUE!</v>
      </c>
      <c r="B35" s="35" t="s">
        <v>120</v>
      </c>
      <c r="C35" s="105">
        <v>20018554325</v>
      </c>
      <c r="D35" s="37" t="s">
        <v>106</v>
      </c>
      <c r="E35" s="37" t="b">
        <v>0</v>
      </c>
      <c r="F35" s="37"/>
      <c r="G35" s="65">
        <v>46022</v>
      </c>
      <c r="H35" s="35">
        <v>2</v>
      </c>
      <c r="I35" s="35" t="s">
        <v>121</v>
      </c>
      <c r="J35" s="95" t="s">
        <v>122</v>
      </c>
      <c r="K35" s="81">
        <v>7034366992</v>
      </c>
      <c r="L35" s="81">
        <v>504774454</v>
      </c>
      <c r="M35" s="81">
        <v>1048925133</v>
      </c>
      <c r="N35" s="35" t="s">
        <v>73</v>
      </c>
      <c r="O35" s="35" t="s">
        <v>97</v>
      </c>
      <c r="P35" s="35">
        <v>8.6999999999999993</v>
      </c>
      <c r="Q35" s="35">
        <v>3.55</v>
      </c>
      <c r="R35" s="35">
        <f t="shared" si="17"/>
        <v>30.884999999999994</v>
      </c>
      <c r="S35" s="44">
        <v>68000</v>
      </c>
      <c r="T35" s="44">
        <f>S35*20/100</f>
        <v>13600</v>
      </c>
      <c r="U35" s="63">
        <f t="shared" si="16"/>
        <v>81600</v>
      </c>
      <c r="V35" s="106"/>
      <c r="W35" s="106"/>
      <c r="X35" s="45">
        <v>0</v>
      </c>
      <c r="Y35" s="48">
        <f t="shared" si="12"/>
        <v>0</v>
      </c>
      <c r="Z35" s="50">
        <v>0</v>
      </c>
      <c r="AA35" s="50">
        <f t="shared" si="13"/>
        <v>0</v>
      </c>
      <c r="AB35" s="50"/>
      <c r="AC35" s="52">
        <v>78200</v>
      </c>
      <c r="AD35" s="52">
        <f>S35*1.15-AC35</f>
        <v>0</v>
      </c>
      <c r="AE35" s="53">
        <f>S35*1.15+X35-AB35-AC35</f>
        <v>0</v>
      </c>
      <c r="AF35" s="52" t="b">
        <v>0</v>
      </c>
      <c r="AG35" s="52"/>
      <c r="AH35" s="52"/>
      <c r="AI35" s="52"/>
      <c r="AJ35" s="52"/>
      <c r="AK35" s="52"/>
      <c r="AL35" s="52"/>
      <c r="AM35" s="52" t="b">
        <v>0</v>
      </c>
      <c r="AN35" s="52"/>
      <c r="AO35" s="52"/>
      <c r="AP35" s="52"/>
      <c r="AQ35" s="52"/>
      <c r="AR35" s="52"/>
      <c r="AS35" s="52" t="b">
        <v>0</v>
      </c>
      <c r="AT35" s="52"/>
      <c r="AU35" s="52"/>
      <c r="AV35" s="52"/>
      <c r="AW35" s="52"/>
      <c r="AX35" s="52" t="str">
        <f t="shared" si="14"/>
        <v>ملتزم</v>
      </c>
      <c r="AY35" s="54" t="s">
        <v>77</v>
      </c>
      <c r="AZ35" s="43" t="s">
        <v>107</v>
      </c>
      <c r="BA35" s="55"/>
      <c r="BB35" s="55"/>
      <c r="BC35" s="55"/>
      <c r="BD35" s="54"/>
      <c r="BE35" s="68">
        <v>22540</v>
      </c>
      <c r="BF35" s="54"/>
      <c r="BG35" s="54"/>
      <c r="BH35" s="54"/>
      <c r="BI35" s="54" t="s">
        <v>76</v>
      </c>
      <c r="BJ35" s="54">
        <f>(U35+V35+AE35)-BD35-BE35</f>
        <v>59060</v>
      </c>
      <c r="BK35" s="54"/>
    </row>
    <row r="36" spans="1:63" ht="34.5" hidden="1" customHeight="1" x14ac:dyDescent="0.25">
      <c r="A36" s="35" t="e">
        <f t="shared" si="0"/>
        <v>#VALUE!</v>
      </c>
      <c r="B36" s="57" t="s">
        <v>123</v>
      </c>
      <c r="C36" s="72">
        <v>20590689834</v>
      </c>
      <c r="D36" s="37" t="s">
        <v>106</v>
      </c>
      <c r="E36" s="37" t="b">
        <v>0</v>
      </c>
      <c r="F36" s="37"/>
      <c r="G36" s="65">
        <v>46022</v>
      </c>
      <c r="H36" s="42">
        <v>1</v>
      </c>
      <c r="I36" s="42">
        <v>70</v>
      </c>
      <c r="J36" s="112">
        <v>25204</v>
      </c>
      <c r="K36" s="60">
        <v>7008409141</v>
      </c>
      <c r="L36" s="60">
        <v>506647793</v>
      </c>
      <c r="M36" s="61">
        <v>2055029769</v>
      </c>
      <c r="N36" s="35" t="s">
        <v>73</v>
      </c>
      <c r="O36" s="42" t="s">
        <v>74</v>
      </c>
      <c r="P36" s="35"/>
      <c r="Q36" s="35"/>
      <c r="R36" s="35">
        <v>138.69999999999999</v>
      </c>
      <c r="S36" s="62">
        <v>30000</v>
      </c>
      <c r="T36" s="44">
        <f t="shared" ref="T36:T37" si="20">S36*10/100</f>
        <v>3000</v>
      </c>
      <c r="U36" s="63">
        <f t="shared" si="16"/>
        <v>33000</v>
      </c>
      <c r="V36" s="64"/>
      <c r="W36" s="64"/>
      <c r="X36" s="52">
        <v>0</v>
      </c>
      <c r="Y36" s="48">
        <f t="shared" si="12"/>
        <v>0</v>
      </c>
      <c r="Z36" s="69">
        <v>0</v>
      </c>
      <c r="AA36" s="50">
        <f t="shared" si="13"/>
        <v>0</v>
      </c>
      <c r="AB36" s="50"/>
      <c r="AC36" s="52">
        <v>34500</v>
      </c>
      <c r="AD36" s="52">
        <f>S36*1.15-AC36</f>
        <v>0</v>
      </c>
      <c r="AE36" s="53">
        <f>S36*1.15+X36-AB36-AC36</f>
        <v>0</v>
      </c>
      <c r="AF36" s="52" t="b">
        <v>0</v>
      </c>
      <c r="AG36" s="52"/>
      <c r="AH36" s="52"/>
      <c r="AI36" s="52"/>
      <c r="AJ36" s="52"/>
      <c r="AK36" s="52"/>
      <c r="AL36" s="52"/>
      <c r="AM36" s="52" t="b">
        <v>0</v>
      </c>
      <c r="AN36" s="52"/>
      <c r="AO36" s="52"/>
      <c r="AP36" s="52"/>
      <c r="AQ36" s="52"/>
      <c r="AR36" s="52"/>
      <c r="AS36" s="52" t="b">
        <v>0</v>
      </c>
      <c r="AT36" s="52"/>
      <c r="AU36" s="52"/>
      <c r="AV36" s="52"/>
      <c r="AW36" s="52"/>
      <c r="AX36" s="52" t="str">
        <f t="shared" si="14"/>
        <v>ملتزم</v>
      </c>
      <c r="AY36" s="52" t="s">
        <v>69</v>
      </c>
      <c r="AZ36" s="43" t="s">
        <v>107</v>
      </c>
      <c r="BA36" s="70">
        <f>R36*500</f>
        <v>69350</v>
      </c>
      <c r="BB36" s="70"/>
      <c r="BC36" s="70"/>
      <c r="BD36" s="52"/>
      <c r="BE36" s="68">
        <v>22650</v>
      </c>
      <c r="BF36" s="52"/>
      <c r="BG36" s="52"/>
      <c r="BH36" s="52"/>
      <c r="BI36" s="52" t="s">
        <v>76</v>
      </c>
      <c r="BJ36" s="54">
        <f>(U36+V36+AE36)-BD36-BE36</f>
        <v>10350</v>
      </c>
      <c r="BK36" s="52" t="s">
        <v>124</v>
      </c>
    </row>
    <row r="37" spans="1:63" ht="34.5" hidden="1" customHeight="1" x14ac:dyDescent="0.25">
      <c r="A37" s="35" t="e">
        <f t="shared" si="0"/>
        <v>#VALUE!</v>
      </c>
      <c r="B37" s="35" t="s">
        <v>125</v>
      </c>
      <c r="C37" s="105">
        <v>20653000666</v>
      </c>
      <c r="D37" s="37" t="s">
        <v>106</v>
      </c>
      <c r="E37" s="37" t="b">
        <v>0</v>
      </c>
      <c r="F37" s="37"/>
      <c r="G37" s="65">
        <v>46022</v>
      </c>
      <c r="H37" s="35">
        <v>2</v>
      </c>
      <c r="I37" s="35" t="s">
        <v>126</v>
      </c>
      <c r="J37" s="110">
        <v>25204</v>
      </c>
      <c r="K37" s="87">
        <v>7008409141</v>
      </c>
      <c r="L37" s="87">
        <v>506647793</v>
      </c>
      <c r="M37" s="81">
        <v>2055029769</v>
      </c>
      <c r="N37" s="35" t="s">
        <v>73</v>
      </c>
      <c r="O37" s="35" t="s">
        <v>97</v>
      </c>
      <c r="P37" s="35">
        <v>10.65</v>
      </c>
      <c r="Q37" s="35">
        <v>4.6500000000000004</v>
      </c>
      <c r="R37" s="35">
        <f t="shared" ref="R37:R55" si="21">P37*Q37</f>
        <v>49.522500000000008</v>
      </c>
      <c r="S37" s="43">
        <v>60000</v>
      </c>
      <c r="T37" s="44">
        <f t="shared" si="20"/>
        <v>6000</v>
      </c>
      <c r="U37" s="63">
        <f t="shared" si="16"/>
        <v>66000</v>
      </c>
      <c r="V37" s="106"/>
      <c r="W37" s="106"/>
      <c r="X37" s="52">
        <v>0</v>
      </c>
      <c r="Y37" s="48">
        <f t="shared" si="12"/>
        <v>0</v>
      </c>
      <c r="Z37" s="50">
        <v>0</v>
      </c>
      <c r="AA37" s="50">
        <f t="shared" si="13"/>
        <v>0</v>
      </c>
      <c r="AB37" s="50"/>
      <c r="AC37" s="52">
        <v>69000</v>
      </c>
      <c r="AD37" s="52">
        <f>S37*1.15-AC37</f>
        <v>0</v>
      </c>
      <c r="AE37" s="53">
        <f>S37*1.15+X37-AB37-AC37</f>
        <v>0</v>
      </c>
      <c r="AF37" s="52" t="b">
        <v>0</v>
      </c>
      <c r="AG37" s="52"/>
      <c r="AH37" s="52"/>
      <c r="AI37" s="52"/>
      <c r="AJ37" s="52"/>
      <c r="AK37" s="52"/>
      <c r="AL37" s="52"/>
      <c r="AM37" s="52" t="b">
        <v>0</v>
      </c>
      <c r="AN37" s="52"/>
      <c r="AO37" s="52"/>
      <c r="AP37" s="52"/>
      <c r="AQ37" s="52"/>
      <c r="AR37" s="52"/>
      <c r="AS37" s="52" t="b">
        <v>0</v>
      </c>
      <c r="AT37" s="52"/>
      <c r="AU37" s="52"/>
      <c r="AV37" s="52"/>
      <c r="AW37" s="52"/>
      <c r="AX37" s="52" t="str">
        <f t="shared" si="14"/>
        <v>ملتزم</v>
      </c>
      <c r="AY37" s="54" t="s">
        <v>69</v>
      </c>
      <c r="AZ37" s="43" t="s">
        <v>107</v>
      </c>
      <c r="BA37" s="55"/>
      <c r="BB37" s="55"/>
      <c r="BC37" s="55"/>
      <c r="BD37" s="54"/>
      <c r="BE37" s="68">
        <v>60000</v>
      </c>
      <c r="BF37" s="54"/>
      <c r="BG37" s="54"/>
      <c r="BH37" s="54"/>
      <c r="BI37" s="54" t="s">
        <v>112</v>
      </c>
      <c r="BJ37" s="54">
        <f>(U37+V37+AE37)-BD37-BE37</f>
        <v>6000</v>
      </c>
      <c r="BK37" s="54" t="s">
        <v>124</v>
      </c>
    </row>
    <row r="38" spans="1:63" ht="34.5" hidden="1" customHeight="1" x14ac:dyDescent="0.25">
      <c r="A38" s="35" t="e">
        <f t="shared" si="0"/>
        <v>#VALUE!</v>
      </c>
      <c r="B38" s="35" t="s">
        <v>127</v>
      </c>
      <c r="C38" s="35">
        <v>20691774336</v>
      </c>
      <c r="D38" s="37" t="s">
        <v>106</v>
      </c>
      <c r="E38" s="37" t="b">
        <v>0</v>
      </c>
      <c r="F38" s="37"/>
      <c r="G38" s="65">
        <v>46022</v>
      </c>
      <c r="H38" s="35">
        <v>2</v>
      </c>
      <c r="I38" s="35" t="s">
        <v>128</v>
      </c>
      <c r="J38" s="110">
        <v>35065</v>
      </c>
      <c r="K38" s="87">
        <v>7027456644</v>
      </c>
      <c r="L38" s="87">
        <v>500571977</v>
      </c>
      <c r="M38" s="81">
        <v>2196921569</v>
      </c>
      <c r="N38" s="35" t="s">
        <v>64</v>
      </c>
      <c r="O38" s="42" t="s">
        <v>84</v>
      </c>
      <c r="P38" s="35">
        <v>17.3</v>
      </c>
      <c r="Q38" s="35">
        <v>9.9</v>
      </c>
      <c r="R38" s="35">
        <f t="shared" si="21"/>
        <v>171.27</v>
      </c>
      <c r="S38" s="43">
        <v>60000</v>
      </c>
      <c r="T38" s="44"/>
      <c r="U38" s="45"/>
      <c r="V38" s="46">
        <v>77072</v>
      </c>
      <c r="W38" s="46"/>
      <c r="X38" s="54">
        <v>0</v>
      </c>
      <c r="Y38" s="89">
        <f t="shared" si="12"/>
        <v>0</v>
      </c>
      <c r="Z38" s="96">
        <v>0</v>
      </c>
      <c r="AA38" s="91">
        <f t="shared" si="13"/>
        <v>0</v>
      </c>
      <c r="AB38" s="91"/>
      <c r="AC38" s="54">
        <v>69000</v>
      </c>
      <c r="AD38" s="54">
        <f>S38*1.15-AC38</f>
        <v>0</v>
      </c>
      <c r="AE38" s="53">
        <f>S38*1.15+X38-AB38-AC38</f>
        <v>0</v>
      </c>
      <c r="AF38" s="54" t="b">
        <v>0</v>
      </c>
      <c r="AG38" s="54"/>
      <c r="AH38" s="54"/>
      <c r="AI38" s="54"/>
      <c r="AJ38" s="54"/>
      <c r="AK38" s="54"/>
      <c r="AL38" s="54"/>
      <c r="AM38" s="54" t="b">
        <v>0</v>
      </c>
      <c r="AN38" s="54"/>
      <c r="AO38" s="54"/>
      <c r="AP38" s="54"/>
      <c r="AQ38" s="54"/>
      <c r="AR38" s="54"/>
      <c r="AS38" s="54" t="b">
        <v>0</v>
      </c>
      <c r="AT38" s="54"/>
      <c r="AU38" s="54"/>
      <c r="AV38" s="54"/>
      <c r="AW38" s="54"/>
      <c r="AX38" s="54" t="str">
        <f t="shared" si="14"/>
        <v>ملتزم</v>
      </c>
      <c r="AY38" s="54" t="s">
        <v>69</v>
      </c>
      <c r="AZ38" s="43" t="s">
        <v>107</v>
      </c>
      <c r="BA38" s="70"/>
      <c r="BB38" s="70"/>
      <c r="BC38" s="70"/>
      <c r="BD38" s="54"/>
      <c r="BE38" s="54"/>
      <c r="BF38" s="54"/>
      <c r="BG38" s="54"/>
      <c r="BH38" s="54"/>
      <c r="BI38" s="54" t="s">
        <v>72</v>
      </c>
      <c r="BJ38" s="54">
        <f>(U38+V38+AE38)-BD38-BE38</f>
        <v>77072</v>
      </c>
      <c r="BK38" s="54"/>
    </row>
    <row r="39" spans="1:63" ht="34.5" hidden="1" customHeight="1" x14ac:dyDescent="0.25">
      <c r="A39" s="35" t="e">
        <f t="shared" si="0"/>
        <v>#VALUE!</v>
      </c>
      <c r="B39" s="35" t="s">
        <v>129</v>
      </c>
      <c r="C39" s="105">
        <v>20410489946</v>
      </c>
      <c r="D39" s="37" t="s">
        <v>106</v>
      </c>
      <c r="E39" s="37" t="b">
        <v>0</v>
      </c>
      <c r="F39" s="37"/>
      <c r="G39" s="65">
        <v>46022</v>
      </c>
      <c r="H39" s="35">
        <v>2</v>
      </c>
      <c r="I39" s="35" t="s">
        <v>130</v>
      </c>
      <c r="J39" s="95" t="s">
        <v>131</v>
      </c>
      <c r="K39" s="87">
        <v>7001702385</v>
      </c>
      <c r="L39" s="87">
        <v>555750033</v>
      </c>
      <c r="M39" s="81">
        <v>1024117150</v>
      </c>
      <c r="N39" s="35" t="s">
        <v>73</v>
      </c>
      <c r="O39" s="35" t="s">
        <v>97</v>
      </c>
      <c r="P39" s="35">
        <v>10.6</v>
      </c>
      <c r="Q39" s="35">
        <v>4.6500000000000004</v>
      </c>
      <c r="R39" s="35">
        <f t="shared" si="21"/>
        <v>49.29</v>
      </c>
      <c r="S39" s="44">
        <v>68000</v>
      </c>
      <c r="T39" s="44">
        <f>S39*10/100</f>
        <v>6800</v>
      </c>
      <c r="U39" s="63">
        <f>S39+T39</f>
        <v>74800</v>
      </c>
      <c r="V39" s="106"/>
      <c r="W39" s="106"/>
      <c r="X39" s="52">
        <v>0</v>
      </c>
      <c r="Y39" s="48">
        <f t="shared" si="12"/>
        <v>0</v>
      </c>
      <c r="Z39" s="50">
        <v>0</v>
      </c>
      <c r="AA39" s="50">
        <f t="shared" si="13"/>
        <v>0</v>
      </c>
      <c r="AB39" s="50"/>
      <c r="AC39" s="52">
        <v>78200</v>
      </c>
      <c r="AD39" s="52">
        <f>S39*1.15-AC39</f>
        <v>0</v>
      </c>
      <c r="AE39" s="53">
        <f>S39*1.15+X39-AB39-AC39</f>
        <v>0</v>
      </c>
      <c r="AF39" s="52" t="b">
        <v>0</v>
      </c>
      <c r="AG39" s="52"/>
      <c r="AH39" s="52"/>
      <c r="AI39" s="52"/>
      <c r="AJ39" s="52"/>
      <c r="AK39" s="52"/>
      <c r="AL39" s="52"/>
      <c r="AM39" s="52" t="b">
        <v>0</v>
      </c>
      <c r="AN39" s="52"/>
      <c r="AO39" s="52"/>
      <c r="AP39" s="52"/>
      <c r="AQ39" s="52"/>
      <c r="AR39" s="52"/>
      <c r="AS39" s="52" t="b">
        <v>0</v>
      </c>
      <c r="AT39" s="52"/>
      <c r="AU39" s="52"/>
      <c r="AV39" s="52"/>
      <c r="AW39" s="52"/>
      <c r="AX39" s="52" t="str">
        <f t="shared" si="14"/>
        <v>ملتزم</v>
      </c>
      <c r="AY39" s="54" t="s">
        <v>69</v>
      </c>
      <c r="AZ39" s="43" t="s">
        <v>107</v>
      </c>
      <c r="BA39" s="55"/>
      <c r="BB39" s="55"/>
      <c r="BC39" s="55"/>
      <c r="BD39" s="54"/>
      <c r="BE39" s="68">
        <v>43124</v>
      </c>
      <c r="BF39" s="54"/>
      <c r="BG39" s="54"/>
      <c r="BH39" s="54"/>
      <c r="BI39" s="54" t="s">
        <v>76</v>
      </c>
      <c r="BJ39" s="54">
        <f>(U39+V39+AE39)-BD39-BE39</f>
        <v>31676</v>
      </c>
      <c r="BK39" s="54"/>
    </row>
    <row r="40" spans="1:63" ht="34.5" hidden="1" customHeight="1" x14ac:dyDescent="0.25">
      <c r="A40" s="35" t="e">
        <f t="shared" si="0"/>
        <v>#VALUE!</v>
      </c>
      <c r="B40" s="35" t="s">
        <v>132</v>
      </c>
      <c r="C40" s="105">
        <v>20518495086</v>
      </c>
      <c r="D40" s="37" t="s">
        <v>106</v>
      </c>
      <c r="E40" s="37" t="b">
        <v>0</v>
      </c>
      <c r="F40" s="37"/>
      <c r="G40" s="113">
        <v>46022</v>
      </c>
      <c r="H40" s="35">
        <v>1</v>
      </c>
      <c r="I40" s="35">
        <v>222</v>
      </c>
      <c r="J40" s="110">
        <v>30318</v>
      </c>
      <c r="K40" s="114">
        <v>7041506549</v>
      </c>
      <c r="L40" s="114">
        <v>553339037</v>
      </c>
      <c r="M40" s="81">
        <v>2587089034</v>
      </c>
      <c r="N40" s="35" t="s">
        <v>73</v>
      </c>
      <c r="O40" s="35" t="s">
        <v>97</v>
      </c>
      <c r="P40" s="35">
        <v>3.65</v>
      </c>
      <c r="Q40" s="35">
        <v>4.12</v>
      </c>
      <c r="R40" s="35">
        <f t="shared" si="21"/>
        <v>15.038</v>
      </c>
      <c r="S40" s="44">
        <v>30000</v>
      </c>
      <c r="T40" s="44">
        <f>S40*20/100</f>
        <v>6000</v>
      </c>
      <c r="U40" s="63">
        <f>S40+T40+200</f>
        <v>36200</v>
      </c>
      <c r="V40" s="44"/>
      <c r="W40" s="44"/>
      <c r="X40" s="115">
        <v>0</v>
      </c>
      <c r="Y40" s="89">
        <f t="shared" si="12"/>
        <v>0</v>
      </c>
      <c r="Z40" s="91">
        <v>0</v>
      </c>
      <c r="AA40" s="91">
        <f t="shared" si="13"/>
        <v>0</v>
      </c>
      <c r="AB40" s="91"/>
      <c r="AC40" s="54">
        <v>34500</v>
      </c>
      <c r="AD40" s="54">
        <f>S40*1.15-AC40</f>
        <v>0</v>
      </c>
      <c r="AE40" s="53">
        <f>S40*1.15+X40-AB40-AC40</f>
        <v>0</v>
      </c>
      <c r="AF40" s="52" t="b">
        <v>0</v>
      </c>
      <c r="AG40" s="52"/>
      <c r="AH40" s="52"/>
      <c r="AI40" s="52"/>
      <c r="AJ40" s="52"/>
      <c r="AK40" s="52"/>
      <c r="AL40" s="52"/>
      <c r="AM40" s="52" t="b">
        <v>0</v>
      </c>
      <c r="AN40" s="52"/>
      <c r="AO40" s="52"/>
      <c r="AP40" s="52"/>
      <c r="AQ40" s="52"/>
      <c r="AR40" s="52"/>
      <c r="AS40" s="52" t="b">
        <v>0</v>
      </c>
      <c r="AT40" s="54"/>
      <c r="AU40" s="54"/>
      <c r="AV40" s="54"/>
      <c r="AW40" s="54"/>
      <c r="AX40" s="54" t="str">
        <f t="shared" si="14"/>
        <v>ملتزم</v>
      </c>
      <c r="AY40" s="54" t="s">
        <v>69</v>
      </c>
      <c r="AZ40" s="43" t="s">
        <v>107</v>
      </c>
      <c r="BA40" s="55"/>
      <c r="BB40" s="55"/>
      <c r="BC40" s="55"/>
      <c r="BD40" s="54"/>
      <c r="BE40" s="68">
        <v>20815</v>
      </c>
      <c r="BF40" s="54"/>
      <c r="BG40" s="54"/>
      <c r="BH40" s="54"/>
      <c r="BI40" s="54" t="s">
        <v>76</v>
      </c>
      <c r="BJ40" s="54">
        <f>(U40+V40+AE40)-BD40-BE40</f>
        <v>15385</v>
      </c>
      <c r="BK40" s="54" t="s">
        <v>113</v>
      </c>
    </row>
    <row r="41" spans="1:63" ht="34.5" hidden="1" customHeight="1" x14ac:dyDescent="0.25">
      <c r="A41" s="35" t="e">
        <f t="shared" si="0"/>
        <v>#VALUE!</v>
      </c>
      <c r="B41" s="35" t="s">
        <v>133</v>
      </c>
      <c r="C41" s="35">
        <v>20726295364</v>
      </c>
      <c r="D41" s="37" t="s">
        <v>134</v>
      </c>
      <c r="E41" s="37" t="b">
        <v>1</v>
      </c>
      <c r="F41" s="104" t="s">
        <v>135</v>
      </c>
      <c r="G41" s="65"/>
      <c r="H41" s="35">
        <v>1</v>
      </c>
      <c r="I41" s="35">
        <v>136</v>
      </c>
      <c r="J41" s="95">
        <v>36482</v>
      </c>
      <c r="K41" s="81">
        <v>7009552667</v>
      </c>
      <c r="L41" s="81">
        <v>539829999</v>
      </c>
      <c r="M41" s="81">
        <v>2501437459</v>
      </c>
      <c r="N41" s="35" t="s">
        <v>64</v>
      </c>
      <c r="O41" s="42" t="s">
        <v>84</v>
      </c>
      <c r="P41" s="35">
        <v>10</v>
      </c>
      <c r="Q41" s="35">
        <v>9.6</v>
      </c>
      <c r="R41" s="35">
        <f t="shared" si="21"/>
        <v>96</v>
      </c>
      <c r="S41" s="43">
        <v>26000</v>
      </c>
      <c r="T41" s="44">
        <f>S41*10/100</f>
        <v>2600</v>
      </c>
      <c r="U41" s="63">
        <f>S41+T41</f>
        <v>28600</v>
      </c>
      <c r="V41" s="46">
        <v>48000</v>
      </c>
      <c r="W41" s="46"/>
      <c r="X41" s="52"/>
      <c r="Y41" s="48">
        <f t="shared" si="12"/>
        <v>0</v>
      </c>
      <c r="Z41" s="69">
        <v>0</v>
      </c>
      <c r="AA41" s="50">
        <f t="shared" si="13"/>
        <v>0</v>
      </c>
      <c r="AB41" s="50"/>
      <c r="AC41" s="52">
        <v>29900</v>
      </c>
      <c r="AD41" s="52">
        <f>S41*1.15-AC41</f>
        <v>0</v>
      </c>
      <c r="AE41" s="53">
        <f>S41*1.15+X41-AB41-AC41</f>
        <v>0</v>
      </c>
      <c r="AF41" s="52" t="b">
        <v>1</v>
      </c>
      <c r="AG41" s="52" t="s">
        <v>67</v>
      </c>
      <c r="AH41" s="52">
        <v>48530</v>
      </c>
      <c r="AI41" s="54" t="s">
        <v>68</v>
      </c>
      <c r="AJ41" s="52" t="s">
        <v>136</v>
      </c>
      <c r="AK41" s="116" t="s">
        <v>137</v>
      </c>
      <c r="AL41" s="116"/>
      <c r="AM41" s="52" t="b">
        <v>0</v>
      </c>
      <c r="AN41" s="117">
        <v>45971</v>
      </c>
      <c r="AO41" s="52">
        <v>48530</v>
      </c>
      <c r="AP41" s="52"/>
      <c r="AQ41" s="52"/>
      <c r="AR41" s="52"/>
      <c r="AS41" s="52" t="b">
        <v>0</v>
      </c>
      <c r="AT41" s="118"/>
      <c r="AU41" s="52"/>
      <c r="AV41" s="52"/>
      <c r="AW41" s="52"/>
      <c r="AX41" s="52" t="str">
        <f t="shared" si="14"/>
        <v>ملتزم</v>
      </c>
      <c r="AY41" s="54" t="s">
        <v>77</v>
      </c>
      <c r="AZ41" s="43" t="s">
        <v>70</v>
      </c>
      <c r="BA41" s="55" t="s">
        <v>71</v>
      </c>
      <c r="BB41" s="55"/>
      <c r="BC41" s="55"/>
      <c r="BD41" s="54"/>
      <c r="BE41" s="54"/>
      <c r="BF41" s="54"/>
      <c r="BG41" s="54"/>
      <c r="BH41" s="54"/>
      <c r="BI41" s="54" t="s">
        <v>72</v>
      </c>
      <c r="BJ41" s="54">
        <f>(U41+V41+AE41)-BD41-BE41</f>
        <v>76600</v>
      </c>
      <c r="BK41" s="54"/>
    </row>
    <row r="42" spans="1:63" ht="34.5" hidden="1" customHeight="1" x14ac:dyDescent="0.25">
      <c r="A42" s="35" t="e">
        <f t="shared" si="0"/>
        <v>#VALUE!</v>
      </c>
      <c r="B42" s="35" t="s">
        <v>133</v>
      </c>
      <c r="C42" s="108"/>
      <c r="D42" s="37" t="s">
        <v>106</v>
      </c>
      <c r="E42" s="37" t="b">
        <v>0</v>
      </c>
      <c r="F42" s="37"/>
      <c r="G42" s="65">
        <v>46022</v>
      </c>
      <c r="H42" s="35">
        <v>2</v>
      </c>
      <c r="I42" s="35" t="s">
        <v>138</v>
      </c>
      <c r="J42" s="81" t="s">
        <v>139</v>
      </c>
      <c r="K42" s="87">
        <v>7009552667</v>
      </c>
      <c r="L42" s="87">
        <v>539829999</v>
      </c>
      <c r="M42" s="81">
        <v>2501437459</v>
      </c>
      <c r="N42" s="35" t="s">
        <v>64</v>
      </c>
      <c r="O42" s="42" t="s">
        <v>97</v>
      </c>
      <c r="P42" s="35">
        <v>12.2</v>
      </c>
      <c r="Q42" s="35">
        <v>3.87</v>
      </c>
      <c r="R42" s="35">
        <f t="shared" si="21"/>
        <v>47.213999999999999</v>
      </c>
      <c r="S42" s="43">
        <v>66200</v>
      </c>
      <c r="T42" s="44">
        <f>S42*20/100</f>
        <v>13240</v>
      </c>
      <c r="U42" s="63">
        <v>76440</v>
      </c>
      <c r="V42" s="106"/>
      <c r="W42" s="106"/>
      <c r="X42" s="52">
        <v>0</v>
      </c>
      <c r="Y42" s="48">
        <f t="shared" si="12"/>
        <v>0</v>
      </c>
      <c r="Z42" s="69">
        <v>0</v>
      </c>
      <c r="AA42" s="50">
        <f t="shared" si="13"/>
        <v>0</v>
      </c>
      <c r="AB42" s="50"/>
      <c r="AC42" s="52">
        <v>76130</v>
      </c>
      <c r="AD42" s="52">
        <f>S42*1.15-AC42</f>
        <v>0</v>
      </c>
      <c r="AE42" s="53">
        <f>S42*1.15+X42-AB42-AC42</f>
        <v>0</v>
      </c>
      <c r="AF42" s="52" t="b">
        <v>0</v>
      </c>
      <c r="AG42" s="52"/>
      <c r="AH42" s="52"/>
      <c r="AI42" s="52"/>
      <c r="AJ42" s="52"/>
      <c r="AK42" s="52"/>
      <c r="AL42" s="52"/>
      <c r="AM42" s="52" t="b">
        <v>0</v>
      </c>
      <c r="AN42" s="52"/>
      <c r="AO42" s="52"/>
      <c r="AP42" s="52"/>
      <c r="AQ42" s="52"/>
      <c r="AR42" s="52"/>
      <c r="AS42" s="52" t="b">
        <v>0</v>
      </c>
      <c r="AT42" s="52"/>
      <c r="AU42" s="52"/>
      <c r="AV42" s="52"/>
      <c r="AW42" s="52"/>
      <c r="AX42" s="52" t="str">
        <f t="shared" si="14"/>
        <v>ملتزم</v>
      </c>
      <c r="AY42" s="54" t="s">
        <v>69</v>
      </c>
      <c r="AZ42" s="43" t="s">
        <v>107</v>
      </c>
      <c r="BA42" s="55"/>
      <c r="BB42" s="55"/>
      <c r="BC42" s="55"/>
      <c r="BD42" s="54"/>
      <c r="BE42" s="68">
        <v>43952</v>
      </c>
      <c r="BF42" s="54"/>
      <c r="BG42" s="54"/>
      <c r="BH42" s="54"/>
      <c r="BI42" s="54" t="s">
        <v>76</v>
      </c>
      <c r="BJ42" s="54">
        <f>(U42+V42+AE42)-BD42-BE42</f>
        <v>32488</v>
      </c>
      <c r="BK42" s="54"/>
    </row>
    <row r="43" spans="1:63" ht="34.5" customHeight="1" x14ac:dyDescent="0.25">
      <c r="A43" s="35">
        <v>1</v>
      </c>
      <c r="B43" s="224" t="s">
        <v>770</v>
      </c>
      <c r="C43" s="230">
        <v>321654987</v>
      </c>
      <c r="D43" s="225" t="s">
        <v>771</v>
      </c>
      <c r="E43" s="225" t="s">
        <v>772</v>
      </c>
      <c r="F43" s="226">
        <v>45901</v>
      </c>
      <c r="G43" s="65">
        <v>46022</v>
      </c>
      <c r="H43" s="35">
        <v>1</v>
      </c>
      <c r="I43" s="227" t="s">
        <v>774</v>
      </c>
      <c r="J43" s="228">
        <v>36771</v>
      </c>
      <c r="K43" s="223">
        <v>700800900</v>
      </c>
      <c r="L43" s="223">
        <v>501122334</v>
      </c>
      <c r="M43" s="222">
        <v>1234567891</v>
      </c>
      <c r="N43" s="224" t="s">
        <v>73</v>
      </c>
      <c r="O43" s="229" t="s">
        <v>97</v>
      </c>
      <c r="P43" s="35">
        <v>30</v>
      </c>
      <c r="Q43" s="35">
        <v>50</v>
      </c>
      <c r="R43" s="35">
        <f>Q43*P43</f>
        <v>1500</v>
      </c>
      <c r="S43" s="43">
        <f>R43*100</f>
        <v>150000</v>
      </c>
      <c r="T43" s="202">
        <v>0.1</v>
      </c>
      <c r="U43" s="63">
        <f>IF(O43="معرض",S43*(T43+1),"العقار ليس من نوع معرض")</f>
        <v>165000</v>
      </c>
      <c r="V43" s="46" t="str">
        <f>IF(O43="مكتب",S43*(T43+1),"العقار ليس من نوع مكتب")</f>
        <v>العقار ليس من نوع مكتب</v>
      </c>
      <c r="W43" s="46">
        <f>IF(O43="مكتب",V43*0.15,IF(O43="معرض",U43*0.15,"لا توجد قيمة"))</f>
        <v>24750</v>
      </c>
      <c r="X43" s="52">
        <v>10000</v>
      </c>
      <c r="Y43" s="48">
        <f>X43-(X43*0.15)</f>
        <v>8500</v>
      </c>
      <c r="Z43" s="69">
        <v>13000</v>
      </c>
      <c r="AA43" s="50">
        <f>Z43-(Z43*0.15)</f>
        <v>11050</v>
      </c>
      <c r="AB43" s="50" t="s">
        <v>151</v>
      </c>
      <c r="AC43" s="52">
        <v>15000</v>
      </c>
      <c r="AD43" s="52">
        <v>20000</v>
      </c>
      <c r="AE43" s="53">
        <f>X43+AD43-AC43</f>
        <v>15000</v>
      </c>
      <c r="AF43" s="52" t="s">
        <v>68</v>
      </c>
      <c r="AG43" s="214">
        <v>45931</v>
      </c>
      <c r="AH43" s="52">
        <f>AE43</f>
        <v>15000</v>
      </c>
      <c r="AI43" s="54" t="s">
        <v>68</v>
      </c>
      <c r="AJ43" s="52" t="s">
        <v>136</v>
      </c>
      <c r="AK43" s="116"/>
      <c r="AL43" s="116"/>
      <c r="AM43" s="52" t="s">
        <v>68</v>
      </c>
      <c r="AN43" s="215">
        <f>AG43+7</f>
        <v>45938</v>
      </c>
      <c r="AO43" s="52">
        <f>AH43-AL43</f>
        <v>15000</v>
      </c>
      <c r="AP43" s="216" t="s">
        <v>68</v>
      </c>
      <c r="AQ43" s="216">
        <v>2000</v>
      </c>
      <c r="AR43" s="52"/>
      <c r="AS43" s="216" t="s">
        <v>68</v>
      </c>
      <c r="AT43" s="217">
        <f>AN43+7</f>
        <v>45945</v>
      </c>
      <c r="AU43" s="216">
        <f>AH43-AL43-AQ43</f>
        <v>13000</v>
      </c>
      <c r="AV43" s="216" t="s">
        <v>136</v>
      </c>
      <c r="AW43" s="216" t="s">
        <v>775</v>
      </c>
      <c r="AX43" s="216" t="s">
        <v>766</v>
      </c>
      <c r="AY43" s="54" t="str">
        <f>IF(AE43&lt;AU43,"متأخر",IF(AE43&gt;S43,"متعثر","ملتزم"))</f>
        <v>ملتزم</v>
      </c>
      <c r="AZ43" s="43" t="s">
        <v>70</v>
      </c>
      <c r="BA43" s="55">
        <v>123456789</v>
      </c>
      <c r="BB43" s="219" t="s">
        <v>68</v>
      </c>
      <c r="BC43" s="219"/>
      <c r="BD43" s="220">
        <v>0</v>
      </c>
      <c r="BE43" s="54">
        <v>2000</v>
      </c>
      <c r="BF43" s="54">
        <v>1000</v>
      </c>
      <c r="BG43" s="54">
        <v>3500</v>
      </c>
      <c r="BH43" s="220">
        <v>1500</v>
      </c>
      <c r="BI43" s="220" t="s">
        <v>776</v>
      </c>
      <c r="BJ43" s="221">
        <f>AU43+(S43*(T43+1)+S43*(0.15)-AL43-AQ43-BD43-BE43-BF43-BG43)</f>
        <v>192000</v>
      </c>
      <c r="BK43" s="220" t="s">
        <v>769</v>
      </c>
    </row>
    <row r="44" spans="1:63" ht="34.5" customHeight="1" x14ac:dyDescent="0.25">
      <c r="A44" s="35">
        <v>2</v>
      </c>
      <c r="B44" s="35" t="s">
        <v>761</v>
      </c>
      <c r="C44" s="35">
        <v>123456789</v>
      </c>
      <c r="D44" s="104" t="s">
        <v>106</v>
      </c>
      <c r="E44" s="104" t="s">
        <v>151</v>
      </c>
      <c r="F44" s="104" t="s">
        <v>151</v>
      </c>
      <c r="G44" s="65">
        <v>46023</v>
      </c>
      <c r="H44" s="35">
        <v>2</v>
      </c>
      <c r="I44" s="227" t="s">
        <v>773</v>
      </c>
      <c r="J44" s="84">
        <v>32874</v>
      </c>
      <c r="K44" s="81">
        <v>700700700</v>
      </c>
      <c r="L44" s="81">
        <v>512345678</v>
      </c>
      <c r="M44" s="81">
        <v>1234567890</v>
      </c>
      <c r="N44" s="35" t="s">
        <v>762</v>
      </c>
      <c r="O44" s="42" t="s">
        <v>74</v>
      </c>
      <c r="P44" s="35">
        <v>20</v>
      </c>
      <c r="Q44" s="35">
        <v>20</v>
      </c>
      <c r="R44" s="35">
        <f>Q44*P44</f>
        <v>400</v>
      </c>
      <c r="S44" s="43">
        <f>R44*100</f>
        <v>40000</v>
      </c>
      <c r="T44" s="202">
        <v>0.1</v>
      </c>
      <c r="U44" s="63" t="str">
        <f>IF(O44="معرض",S44*(T44+1),"العقار ليس من نوع معرض")</f>
        <v>العقار ليس من نوع معرض</v>
      </c>
      <c r="V44" s="46">
        <f>IF(O44="مكتب",S44*(T44+1),"العقار ليس من نوع مكتب")</f>
        <v>44000</v>
      </c>
      <c r="W44" s="46">
        <f>IF(O44="مكتب",V44*0.15,IF(O44="معرض",U44*0.15,"لا توجد قيمة"))</f>
        <v>6600</v>
      </c>
      <c r="X44" s="52">
        <v>20000</v>
      </c>
      <c r="Y44" s="48">
        <f>X44-(X44*0.15)</f>
        <v>17000</v>
      </c>
      <c r="Z44" s="69">
        <v>50000</v>
      </c>
      <c r="AA44" s="50">
        <f>Z44-(Z44*0.15)</f>
        <v>42500</v>
      </c>
      <c r="AB44" s="50" t="s">
        <v>151</v>
      </c>
      <c r="AC44" s="52">
        <v>10000</v>
      </c>
      <c r="AD44" s="52">
        <v>20000</v>
      </c>
      <c r="AE44" s="53">
        <f>X44+AD44-AC44</f>
        <v>30000</v>
      </c>
      <c r="AF44" s="52" t="s">
        <v>68</v>
      </c>
      <c r="AG44" s="214">
        <v>45931</v>
      </c>
      <c r="AH44" s="52">
        <f>AE44</f>
        <v>30000</v>
      </c>
      <c r="AI44" s="54" t="s">
        <v>68</v>
      </c>
      <c r="AJ44" s="52" t="s">
        <v>136</v>
      </c>
      <c r="AK44" s="116"/>
      <c r="AL44" s="116"/>
      <c r="AM44" s="52" t="s">
        <v>68</v>
      </c>
      <c r="AN44" s="215">
        <f>AG44+7</f>
        <v>45938</v>
      </c>
      <c r="AO44" s="52">
        <f>AH44-AL44</f>
        <v>30000</v>
      </c>
      <c r="AP44" s="216" t="s">
        <v>68</v>
      </c>
      <c r="AQ44" s="216">
        <v>10000</v>
      </c>
      <c r="AR44" s="52"/>
      <c r="AS44" s="216" t="s">
        <v>68</v>
      </c>
      <c r="AT44" s="217">
        <f>AN44+7</f>
        <v>45945</v>
      </c>
      <c r="AU44" s="216">
        <f>AH44-AL44-AQ44</f>
        <v>20000</v>
      </c>
      <c r="AV44" s="216" t="s">
        <v>136</v>
      </c>
      <c r="AW44" s="216" t="s">
        <v>246</v>
      </c>
      <c r="AX44" s="216" t="s">
        <v>766</v>
      </c>
      <c r="AY44" s="54" t="str">
        <f>IF(AE44&lt;AU44,"متأخر",IF(AE44&gt;S44,"متعثر","ملتزم"))</f>
        <v>ملتزم</v>
      </c>
      <c r="AZ44" s="43" t="s">
        <v>70</v>
      </c>
      <c r="BA44" s="55">
        <v>123456789</v>
      </c>
      <c r="BB44" s="55" t="s">
        <v>136</v>
      </c>
      <c r="BC44" s="219" t="s">
        <v>767</v>
      </c>
      <c r="BD44" s="220">
        <v>0</v>
      </c>
      <c r="BE44" s="54">
        <v>5000</v>
      </c>
      <c r="BF44" s="54">
        <v>1000</v>
      </c>
      <c r="BG44" s="54">
        <v>2000</v>
      </c>
      <c r="BH44" s="220" t="s">
        <v>151</v>
      </c>
      <c r="BI44" s="220" t="s">
        <v>768</v>
      </c>
      <c r="BJ44" s="221">
        <f>AU44+(S44*(T44+1)+S44*(0.15)-AL44-AQ44-BD44-BE44-BF44-BG44)</f>
        <v>52000</v>
      </c>
      <c r="BK44" s="220" t="s">
        <v>769</v>
      </c>
    </row>
    <row r="45" spans="1:63" ht="34.5" hidden="1" customHeight="1" x14ac:dyDescent="0.25">
      <c r="A45" s="35">
        <f t="shared" si="0"/>
        <v>3</v>
      </c>
      <c r="B45" s="35" t="s">
        <v>141</v>
      </c>
      <c r="C45" s="105">
        <v>20734262710</v>
      </c>
      <c r="D45" s="37" t="s">
        <v>106</v>
      </c>
      <c r="E45" s="37" t="b">
        <v>0</v>
      </c>
      <c r="F45" s="37"/>
      <c r="G45" s="113">
        <v>46022</v>
      </c>
      <c r="H45" s="35">
        <v>1</v>
      </c>
      <c r="I45" s="35">
        <v>291</v>
      </c>
      <c r="J45" s="81" t="s">
        <v>139</v>
      </c>
      <c r="K45" s="81">
        <v>7009552667</v>
      </c>
      <c r="L45" s="81">
        <v>539829999</v>
      </c>
      <c r="M45" s="81">
        <v>2501437459</v>
      </c>
      <c r="N45" s="35" t="s">
        <v>73</v>
      </c>
      <c r="O45" s="35" t="s">
        <v>97</v>
      </c>
      <c r="P45" s="35">
        <v>5</v>
      </c>
      <c r="Q45" s="35">
        <v>3.6</v>
      </c>
      <c r="R45" s="35">
        <f t="shared" si="21"/>
        <v>18</v>
      </c>
      <c r="S45" s="44">
        <v>30000</v>
      </c>
      <c r="T45" s="44">
        <f t="shared" ref="T45:T47" si="22">S45*10/100</f>
        <v>3000</v>
      </c>
      <c r="U45" s="63">
        <f t="shared" ref="U45:U46" si="23">S45+T45+200</f>
        <v>33200</v>
      </c>
      <c r="V45" s="44"/>
      <c r="W45" s="44"/>
      <c r="X45" s="54">
        <v>0</v>
      </c>
      <c r="Y45" s="89">
        <f t="shared" si="12"/>
        <v>0</v>
      </c>
      <c r="Z45" s="91">
        <v>0</v>
      </c>
      <c r="AA45" s="91">
        <f t="shared" si="13"/>
        <v>0</v>
      </c>
      <c r="AB45" s="91"/>
      <c r="AC45" s="54">
        <v>34500</v>
      </c>
      <c r="AD45" s="54">
        <f>S45*1.15-AC45</f>
        <v>0</v>
      </c>
      <c r="AE45" s="53">
        <f>S45*1.15+X45-AB45-AC45</f>
        <v>0</v>
      </c>
      <c r="AF45" s="52" t="b">
        <v>0</v>
      </c>
      <c r="AG45" s="52"/>
      <c r="AH45" s="52"/>
      <c r="AI45" s="52"/>
      <c r="AJ45" s="52"/>
      <c r="AK45" s="52"/>
      <c r="AL45" s="52"/>
      <c r="AM45" s="52" t="b">
        <v>0</v>
      </c>
      <c r="AN45" s="52"/>
      <c r="AO45" s="52"/>
      <c r="AP45" s="52"/>
      <c r="AQ45" s="52"/>
      <c r="AR45" s="52"/>
      <c r="AS45" s="52" t="b">
        <v>0</v>
      </c>
      <c r="AT45" s="54"/>
      <c r="AU45" s="54"/>
      <c r="AV45" s="54"/>
      <c r="AW45" s="54"/>
      <c r="AX45" s="54" t="str">
        <f t="shared" si="14"/>
        <v>ملتزم</v>
      </c>
      <c r="AY45" s="54" t="s">
        <v>69</v>
      </c>
      <c r="AZ45" s="43" t="s">
        <v>107</v>
      </c>
      <c r="BA45" s="55"/>
      <c r="BB45" s="55"/>
      <c r="BC45" s="55"/>
      <c r="BD45" s="54"/>
      <c r="BE45" s="68">
        <v>19090</v>
      </c>
      <c r="BF45" s="54"/>
      <c r="BG45" s="54"/>
      <c r="BH45" s="54"/>
      <c r="BI45" s="54" t="s">
        <v>112</v>
      </c>
      <c r="BJ45" s="54">
        <f>(U45+V45+AE45)-BD45-BE45</f>
        <v>14110</v>
      </c>
      <c r="BK45" s="54" t="s">
        <v>113</v>
      </c>
    </row>
    <row r="46" spans="1:63" ht="34.5" hidden="1" customHeight="1" x14ac:dyDescent="0.25">
      <c r="A46" s="35">
        <f t="shared" si="0"/>
        <v>4</v>
      </c>
      <c r="B46" s="35" t="s">
        <v>142</v>
      </c>
      <c r="C46" s="105">
        <v>20465057395</v>
      </c>
      <c r="D46" s="37" t="s">
        <v>106</v>
      </c>
      <c r="E46" s="37" t="b">
        <v>0</v>
      </c>
      <c r="F46" s="37"/>
      <c r="G46" s="113">
        <v>46022</v>
      </c>
      <c r="H46" s="35">
        <v>1</v>
      </c>
      <c r="I46" s="35">
        <v>300</v>
      </c>
      <c r="J46" s="119" t="s">
        <v>143</v>
      </c>
      <c r="K46" s="120">
        <v>7029724106</v>
      </c>
      <c r="L46" s="120">
        <v>569751821</v>
      </c>
      <c r="M46" s="121">
        <v>1135336509</v>
      </c>
      <c r="N46" s="35" t="s">
        <v>73</v>
      </c>
      <c r="O46" s="35" t="s">
        <v>97</v>
      </c>
      <c r="P46" s="35">
        <v>5.3</v>
      </c>
      <c r="Q46" s="35">
        <v>4</v>
      </c>
      <c r="R46" s="35">
        <f t="shared" si="21"/>
        <v>21.2</v>
      </c>
      <c r="S46" s="44">
        <v>30000</v>
      </c>
      <c r="T46" s="44">
        <f t="shared" si="22"/>
        <v>3000</v>
      </c>
      <c r="U46" s="63">
        <f t="shared" si="23"/>
        <v>33200</v>
      </c>
      <c r="V46" s="44"/>
      <c r="W46" s="44"/>
      <c r="X46" s="54">
        <v>0</v>
      </c>
      <c r="Y46" s="89">
        <f t="shared" si="12"/>
        <v>0</v>
      </c>
      <c r="Z46" s="91">
        <v>0</v>
      </c>
      <c r="AA46" s="91">
        <f t="shared" si="13"/>
        <v>0</v>
      </c>
      <c r="AB46" s="91"/>
      <c r="AC46" s="54">
        <v>34500</v>
      </c>
      <c r="AD46" s="54">
        <f>S46*1.15-AC46</f>
        <v>0</v>
      </c>
      <c r="AE46" s="53">
        <f>S46*1.15+X46-AB46-AC46</f>
        <v>0</v>
      </c>
      <c r="AF46" s="54" t="b">
        <v>0</v>
      </c>
      <c r="AG46" s="54"/>
      <c r="AH46" s="54"/>
      <c r="AI46" s="54"/>
      <c r="AJ46" s="54"/>
      <c r="AK46" s="54"/>
      <c r="AL46" s="54"/>
      <c r="AM46" s="54" t="b">
        <v>0</v>
      </c>
      <c r="AN46" s="54"/>
      <c r="AO46" s="54"/>
      <c r="AP46" s="54"/>
      <c r="AQ46" s="54"/>
      <c r="AR46" s="54"/>
      <c r="AS46" s="54" t="b">
        <v>0</v>
      </c>
      <c r="AT46" s="54"/>
      <c r="AU46" s="54"/>
      <c r="AV46" s="54"/>
      <c r="AW46" s="54"/>
      <c r="AX46" s="54" t="str">
        <f t="shared" si="14"/>
        <v>ملتزم</v>
      </c>
      <c r="AY46" s="54" t="s">
        <v>69</v>
      </c>
      <c r="AZ46" s="43" t="s">
        <v>107</v>
      </c>
      <c r="BA46" s="55"/>
      <c r="BB46" s="55"/>
      <c r="BC46" s="55"/>
      <c r="BD46" s="54"/>
      <c r="BE46" s="68">
        <v>19090</v>
      </c>
      <c r="BF46" s="54"/>
      <c r="BG46" s="54"/>
      <c r="BH46" s="54"/>
      <c r="BI46" s="54" t="s">
        <v>72</v>
      </c>
      <c r="BJ46" s="54">
        <f>(U46+V46+AE46)-BD46-BE46</f>
        <v>14110</v>
      </c>
      <c r="BK46" s="54" t="s">
        <v>113</v>
      </c>
    </row>
    <row r="47" spans="1:63" ht="34.5" hidden="1" customHeight="1" x14ac:dyDescent="0.25">
      <c r="A47" s="35">
        <f t="shared" si="0"/>
        <v>5</v>
      </c>
      <c r="B47" s="35" t="s">
        <v>144</v>
      </c>
      <c r="C47" s="35"/>
      <c r="D47" s="122" t="s">
        <v>134</v>
      </c>
      <c r="E47" s="122" t="b">
        <v>1</v>
      </c>
      <c r="F47" s="123">
        <v>45879</v>
      </c>
      <c r="G47" s="65"/>
      <c r="H47" s="35">
        <v>1</v>
      </c>
      <c r="I47" s="35">
        <v>132</v>
      </c>
      <c r="J47" s="95" t="s">
        <v>145</v>
      </c>
      <c r="K47" s="81">
        <v>7004108846</v>
      </c>
      <c r="L47" s="81">
        <v>566436619</v>
      </c>
      <c r="M47" s="81">
        <v>2156099075</v>
      </c>
      <c r="N47" s="35" t="s">
        <v>64</v>
      </c>
      <c r="O47" s="42" t="s">
        <v>84</v>
      </c>
      <c r="P47" s="35">
        <v>9.9</v>
      </c>
      <c r="Q47" s="35">
        <v>8.3000000000000007</v>
      </c>
      <c r="R47" s="35">
        <f t="shared" si="21"/>
        <v>82.170000000000016</v>
      </c>
      <c r="S47" s="43">
        <v>25000</v>
      </c>
      <c r="T47" s="44">
        <f t="shared" si="22"/>
        <v>2500</v>
      </c>
      <c r="U47" s="63">
        <f>S47+T47</f>
        <v>27500</v>
      </c>
      <c r="V47" s="46">
        <v>32000</v>
      </c>
      <c r="W47" s="46"/>
      <c r="X47" s="52">
        <v>0</v>
      </c>
      <c r="Y47" s="48">
        <f t="shared" si="12"/>
        <v>0</v>
      </c>
      <c r="Z47" s="69">
        <v>0</v>
      </c>
      <c r="AA47" s="50">
        <f t="shared" si="13"/>
        <v>0</v>
      </c>
      <c r="AB47" s="50">
        <v>0</v>
      </c>
      <c r="AC47" s="52">
        <v>28750</v>
      </c>
      <c r="AD47" s="52">
        <f>S47*1.15-AC47</f>
        <v>0</v>
      </c>
      <c r="AE47" s="124">
        <f>S47*1.15+X47-AB47-AC47</f>
        <v>0</v>
      </c>
      <c r="AF47" s="52" t="b">
        <v>1</v>
      </c>
      <c r="AG47" s="52" t="s">
        <v>67</v>
      </c>
      <c r="AH47" s="52">
        <v>16800</v>
      </c>
      <c r="AI47" s="54" t="s">
        <v>68</v>
      </c>
      <c r="AJ47" s="52" t="s">
        <v>136</v>
      </c>
      <c r="AK47" s="116" t="s">
        <v>146</v>
      </c>
      <c r="AL47" s="116"/>
      <c r="AM47" s="52" t="b">
        <v>0</v>
      </c>
      <c r="AN47" s="117">
        <v>45971</v>
      </c>
      <c r="AO47" s="52">
        <v>16800</v>
      </c>
      <c r="AP47" s="52"/>
      <c r="AQ47" s="52"/>
      <c r="AR47" s="52"/>
      <c r="AS47" s="52" t="b">
        <v>0</v>
      </c>
      <c r="AT47" s="118"/>
      <c r="AU47" s="52"/>
      <c r="AV47" s="52"/>
      <c r="AW47" s="52"/>
      <c r="AX47" s="52" t="str">
        <f t="shared" si="14"/>
        <v>ملتزم</v>
      </c>
      <c r="AY47" s="54" t="s">
        <v>77</v>
      </c>
      <c r="AZ47" s="43" t="s">
        <v>70</v>
      </c>
      <c r="BA47" s="55" t="s">
        <v>71</v>
      </c>
      <c r="BB47" s="55"/>
      <c r="BC47" s="55"/>
      <c r="BD47" s="54"/>
      <c r="BE47" s="54"/>
      <c r="BF47" s="54"/>
      <c r="BG47" s="54"/>
      <c r="BH47" s="54"/>
      <c r="BI47" s="54" t="s">
        <v>72</v>
      </c>
      <c r="BJ47" s="54">
        <f>(U47+V47+AE47)-BD47-BE47</f>
        <v>59500</v>
      </c>
      <c r="BK47" s="54"/>
    </row>
    <row r="48" spans="1:63" ht="34.5" hidden="1" customHeight="1" x14ac:dyDescent="0.25">
      <c r="A48" s="35">
        <f t="shared" si="0"/>
        <v>6</v>
      </c>
      <c r="B48" s="35" t="s">
        <v>144</v>
      </c>
      <c r="C48" s="35">
        <v>20650792695</v>
      </c>
      <c r="D48" s="37" t="s">
        <v>106</v>
      </c>
      <c r="E48" s="37" t="b">
        <v>0</v>
      </c>
      <c r="F48" s="37"/>
      <c r="G48" s="65">
        <v>46022</v>
      </c>
      <c r="H48" s="35">
        <v>1</v>
      </c>
      <c r="I48" s="125">
        <v>112</v>
      </c>
      <c r="J48" s="95" t="s">
        <v>145</v>
      </c>
      <c r="K48" s="81">
        <v>7004108846</v>
      </c>
      <c r="L48" s="81">
        <v>566436619</v>
      </c>
      <c r="M48" s="81">
        <v>2156099075</v>
      </c>
      <c r="N48" s="35" t="s">
        <v>64</v>
      </c>
      <c r="O48" s="42" t="s">
        <v>84</v>
      </c>
      <c r="P48" s="35">
        <v>8.1999999999999993</v>
      </c>
      <c r="Q48" s="35">
        <v>10</v>
      </c>
      <c r="R48" s="35">
        <f t="shared" si="21"/>
        <v>82</v>
      </c>
      <c r="S48" s="43">
        <v>30000</v>
      </c>
      <c r="T48" s="44"/>
      <c r="U48" s="63"/>
      <c r="V48" s="46">
        <v>35000</v>
      </c>
      <c r="W48" s="46"/>
      <c r="X48" s="82"/>
      <c r="Y48" s="48">
        <f t="shared" si="12"/>
        <v>0</v>
      </c>
      <c r="Z48" s="83">
        <v>0</v>
      </c>
      <c r="AA48" s="50">
        <f t="shared" si="13"/>
        <v>0</v>
      </c>
      <c r="AB48" s="50"/>
      <c r="AC48" s="82">
        <v>34500</v>
      </c>
      <c r="AD48" s="52">
        <f>S48*1.15-AC48</f>
        <v>0</v>
      </c>
      <c r="AE48" s="53">
        <f>S48*1.15+X48-AB48-AC48</f>
        <v>0</v>
      </c>
      <c r="AF48" s="52" t="b">
        <v>0</v>
      </c>
      <c r="AG48" s="52"/>
      <c r="AH48" s="52"/>
      <c r="AI48" s="52"/>
      <c r="AJ48" s="52"/>
      <c r="AK48" s="52"/>
      <c r="AL48" s="52"/>
      <c r="AM48" s="52" t="b">
        <v>0</v>
      </c>
      <c r="AN48" s="52"/>
      <c r="AO48" s="52"/>
      <c r="AP48" s="52"/>
      <c r="AQ48" s="52"/>
      <c r="AR48" s="52"/>
      <c r="AS48" s="52" t="b">
        <v>0</v>
      </c>
      <c r="AT48" s="52"/>
      <c r="AU48" s="52"/>
      <c r="AV48" s="52"/>
      <c r="AW48" s="52"/>
      <c r="AX48" s="52" t="str">
        <f t="shared" si="14"/>
        <v>ملتزم</v>
      </c>
      <c r="AY48" s="54" t="s">
        <v>77</v>
      </c>
      <c r="AZ48" s="43" t="s">
        <v>107</v>
      </c>
      <c r="BA48" s="55"/>
      <c r="BB48" s="55"/>
      <c r="BC48" s="55"/>
      <c r="BD48" s="54"/>
      <c r="BE48" s="54"/>
      <c r="BF48" s="54"/>
      <c r="BG48" s="54"/>
      <c r="BH48" s="54"/>
      <c r="BI48" s="54" t="s">
        <v>72</v>
      </c>
      <c r="BJ48" s="54">
        <f>(U48+V48+AE48)-BD48-BE48</f>
        <v>35000</v>
      </c>
      <c r="BK48" s="54"/>
    </row>
    <row r="49" spans="1:63" ht="34.5" hidden="1" customHeight="1" x14ac:dyDescent="0.25">
      <c r="A49" s="35">
        <f t="shared" si="0"/>
        <v>7</v>
      </c>
      <c r="B49" s="35" t="s">
        <v>144</v>
      </c>
      <c r="C49" s="35">
        <v>20456261687</v>
      </c>
      <c r="D49" s="37" t="s">
        <v>106</v>
      </c>
      <c r="E49" s="37" t="b">
        <v>0</v>
      </c>
      <c r="F49" s="37"/>
      <c r="G49" s="38">
        <v>46022</v>
      </c>
      <c r="H49" s="35">
        <v>1</v>
      </c>
      <c r="I49" s="125">
        <v>122</v>
      </c>
      <c r="J49" s="93" t="s">
        <v>147</v>
      </c>
      <c r="K49" s="86">
        <v>7004108846</v>
      </c>
      <c r="L49" s="87">
        <v>566436619</v>
      </c>
      <c r="M49" s="81">
        <v>2156099075</v>
      </c>
      <c r="N49" s="35" t="s">
        <v>64</v>
      </c>
      <c r="O49" s="42" t="s">
        <v>84</v>
      </c>
      <c r="P49" s="35">
        <v>8.1999999999999993</v>
      </c>
      <c r="Q49" s="35">
        <v>7.7</v>
      </c>
      <c r="R49" s="35">
        <f t="shared" si="21"/>
        <v>63.139999999999993</v>
      </c>
      <c r="S49" s="43">
        <v>28000</v>
      </c>
      <c r="T49" s="44"/>
      <c r="U49" s="45"/>
      <c r="V49" s="46">
        <v>35500</v>
      </c>
      <c r="W49" s="46"/>
      <c r="X49" s="51"/>
      <c r="Y49" s="48">
        <f t="shared" si="12"/>
        <v>0</v>
      </c>
      <c r="Z49" s="49">
        <v>0</v>
      </c>
      <c r="AA49" s="50">
        <f t="shared" si="13"/>
        <v>0</v>
      </c>
      <c r="AB49" s="50"/>
      <c r="AC49" s="51">
        <v>32200</v>
      </c>
      <c r="AD49" s="52">
        <f>S49*1.15-AC49</f>
        <v>0</v>
      </c>
      <c r="AE49" s="53">
        <f>S49*1.15+X49-AB49-AC49</f>
        <v>0</v>
      </c>
      <c r="AF49" s="52" t="b">
        <v>0</v>
      </c>
      <c r="AG49" s="52"/>
      <c r="AH49" s="52"/>
      <c r="AI49" s="52"/>
      <c r="AJ49" s="52"/>
      <c r="AK49" s="52"/>
      <c r="AL49" s="52"/>
      <c r="AM49" s="52" t="b">
        <v>0</v>
      </c>
      <c r="AN49" s="52"/>
      <c r="AO49" s="52"/>
      <c r="AP49" s="52"/>
      <c r="AQ49" s="52"/>
      <c r="AR49" s="52"/>
      <c r="AS49" s="52" t="b">
        <v>0</v>
      </c>
      <c r="AT49" s="52"/>
      <c r="AU49" s="52"/>
      <c r="AV49" s="52"/>
      <c r="AW49" s="52"/>
      <c r="AX49" s="52" t="str">
        <f t="shared" si="14"/>
        <v>ملتزم</v>
      </c>
      <c r="AY49" s="52" t="s">
        <v>69</v>
      </c>
      <c r="AZ49" s="43" t="s">
        <v>107</v>
      </c>
      <c r="BA49" s="70"/>
      <c r="BB49" s="70"/>
      <c r="BC49" s="70"/>
      <c r="BD49" s="52"/>
      <c r="BE49" s="52"/>
      <c r="BF49" s="52"/>
      <c r="BG49" s="52"/>
      <c r="BH49" s="52"/>
      <c r="BI49" s="54" t="s">
        <v>72</v>
      </c>
      <c r="BJ49" s="54">
        <f>(U49+V49+AE49)-BD49-BE49</f>
        <v>35500</v>
      </c>
      <c r="BK49" s="52"/>
    </row>
    <row r="50" spans="1:63" ht="34.5" hidden="1" customHeight="1" x14ac:dyDescent="0.25">
      <c r="A50" s="35">
        <f>1+A48</f>
        <v>7</v>
      </c>
      <c r="B50" s="35" t="s">
        <v>148</v>
      </c>
      <c r="C50" s="105">
        <v>20254186107</v>
      </c>
      <c r="D50" s="37" t="s">
        <v>149</v>
      </c>
      <c r="E50" s="37" t="b">
        <v>0</v>
      </c>
      <c r="F50" s="37"/>
      <c r="G50" s="65">
        <v>46022</v>
      </c>
      <c r="H50" s="35">
        <v>2</v>
      </c>
      <c r="I50" s="35" t="s">
        <v>150</v>
      </c>
      <c r="J50" s="95">
        <v>21551</v>
      </c>
      <c r="K50" s="81">
        <v>7013401422</v>
      </c>
      <c r="L50" s="81">
        <v>563000707</v>
      </c>
      <c r="M50" s="81">
        <v>2048275008</v>
      </c>
      <c r="N50" s="35" t="s">
        <v>73</v>
      </c>
      <c r="O50" s="35" t="s">
        <v>97</v>
      </c>
      <c r="P50" s="35">
        <v>10</v>
      </c>
      <c r="Q50" s="35">
        <v>4</v>
      </c>
      <c r="R50" s="35">
        <f t="shared" si="21"/>
        <v>40</v>
      </c>
      <c r="S50" s="44">
        <v>60000</v>
      </c>
      <c r="T50" s="44">
        <f t="shared" ref="T50:T51" si="24">S50*10/100</f>
        <v>6000</v>
      </c>
      <c r="U50" s="63">
        <f t="shared" ref="U50:U52" si="25">S50+T50</f>
        <v>66000</v>
      </c>
      <c r="V50" s="106"/>
      <c r="W50" s="106"/>
      <c r="X50" s="52">
        <v>0</v>
      </c>
      <c r="Y50" s="48">
        <f t="shared" si="12"/>
        <v>0</v>
      </c>
      <c r="Z50" s="50">
        <v>0</v>
      </c>
      <c r="AA50" s="50">
        <f t="shared" si="13"/>
        <v>0</v>
      </c>
      <c r="AB50" s="50"/>
      <c r="AC50" s="52">
        <v>69000</v>
      </c>
      <c r="AD50" s="52">
        <f>S50*1.15-AC50</f>
        <v>0</v>
      </c>
      <c r="AE50" s="53">
        <f>S50*1.15+X50-AB50-AC50</f>
        <v>0</v>
      </c>
      <c r="AF50" s="52" t="b">
        <v>1</v>
      </c>
      <c r="AG50" s="117">
        <v>45698</v>
      </c>
      <c r="AH50" s="52">
        <v>50754</v>
      </c>
      <c r="AI50" s="52" t="s">
        <v>136</v>
      </c>
      <c r="AJ50" s="52" t="s">
        <v>136</v>
      </c>
      <c r="AK50" s="52" t="s">
        <v>151</v>
      </c>
      <c r="AL50" s="52"/>
      <c r="AM50" s="52" t="b">
        <v>0</v>
      </c>
      <c r="AN50" s="126" t="s">
        <v>152</v>
      </c>
      <c r="AO50" s="52">
        <v>50754</v>
      </c>
      <c r="AP50" s="52"/>
      <c r="AQ50" s="52"/>
      <c r="AR50" s="52"/>
      <c r="AS50" s="52" t="b">
        <v>0</v>
      </c>
      <c r="AT50" s="54"/>
      <c r="AU50" s="52"/>
      <c r="AV50" s="52"/>
      <c r="AW50" s="52"/>
      <c r="AX50" s="52" t="str">
        <f t="shared" si="14"/>
        <v>ملتزم</v>
      </c>
      <c r="AY50" s="54" t="s">
        <v>77</v>
      </c>
      <c r="AZ50" s="43" t="s">
        <v>107</v>
      </c>
      <c r="BA50" s="55"/>
      <c r="BB50" s="55"/>
      <c r="BC50" s="55"/>
      <c r="BD50" s="54"/>
      <c r="BE50" s="68">
        <v>12688</v>
      </c>
      <c r="BF50" s="54"/>
      <c r="BG50" s="54"/>
      <c r="BH50" s="54"/>
      <c r="BI50" s="54" t="s">
        <v>72</v>
      </c>
      <c r="BJ50" s="54">
        <f>(U50+V50+AE50)-BD50-BE50</f>
        <v>53312</v>
      </c>
      <c r="BK50" s="54"/>
    </row>
    <row r="51" spans="1:63" ht="34.5" hidden="1" customHeight="1" x14ac:dyDescent="0.25">
      <c r="A51" s="35">
        <f t="shared" ref="A51:A95" si="26">1+A50</f>
        <v>8</v>
      </c>
      <c r="B51" s="35" t="s">
        <v>153</v>
      </c>
      <c r="C51" s="111">
        <v>20637561050</v>
      </c>
      <c r="D51" s="37" t="s">
        <v>106</v>
      </c>
      <c r="E51" s="37" t="b">
        <v>0</v>
      </c>
      <c r="F51" s="37"/>
      <c r="G51" s="65">
        <v>46022</v>
      </c>
      <c r="H51" s="35">
        <v>1</v>
      </c>
      <c r="I51" s="125">
        <v>34</v>
      </c>
      <c r="J51" s="95">
        <v>32441</v>
      </c>
      <c r="K51" s="87">
        <v>7012799909</v>
      </c>
      <c r="L51" s="87">
        <v>502974279</v>
      </c>
      <c r="M51" s="81">
        <v>2481926059</v>
      </c>
      <c r="N51" s="35" t="s">
        <v>64</v>
      </c>
      <c r="O51" s="42" t="s">
        <v>97</v>
      </c>
      <c r="P51" s="35">
        <v>6.9</v>
      </c>
      <c r="Q51" s="35">
        <v>3.8</v>
      </c>
      <c r="R51" s="35">
        <f t="shared" si="21"/>
        <v>26.22</v>
      </c>
      <c r="S51" s="43">
        <v>40000</v>
      </c>
      <c r="T51" s="44">
        <f t="shared" si="24"/>
        <v>4000</v>
      </c>
      <c r="U51" s="63">
        <f t="shared" si="25"/>
        <v>44000</v>
      </c>
      <c r="V51" s="106"/>
      <c r="W51" s="106"/>
      <c r="X51" s="52">
        <v>0</v>
      </c>
      <c r="Y51" s="48">
        <f t="shared" si="12"/>
        <v>0</v>
      </c>
      <c r="Z51" s="69">
        <v>0</v>
      </c>
      <c r="AA51" s="50">
        <f t="shared" si="13"/>
        <v>0</v>
      </c>
      <c r="AB51" s="50"/>
      <c r="AC51" s="52">
        <v>46000</v>
      </c>
      <c r="AD51" s="52">
        <f>S51*1.15-AC51</f>
        <v>0</v>
      </c>
      <c r="AE51" s="53">
        <f>S51*1.15+X51-AB51-AC51</f>
        <v>0</v>
      </c>
      <c r="AF51" s="52" t="b">
        <v>0</v>
      </c>
      <c r="AG51" s="52"/>
      <c r="AH51" s="52"/>
      <c r="AI51" s="52"/>
      <c r="AJ51" s="52"/>
      <c r="AK51" s="52"/>
      <c r="AL51" s="52"/>
      <c r="AM51" s="52" t="b">
        <v>0</v>
      </c>
      <c r="AN51" s="52"/>
      <c r="AO51" s="52"/>
      <c r="AP51" s="52"/>
      <c r="AQ51" s="52"/>
      <c r="AR51" s="52"/>
      <c r="AS51" s="52" t="b">
        <v>0</v>
      </c>
      <c r="AT51" s="52"/>
      <c r="AU51" s="52"/>
      <c r="AV51" s="52"/>
      <c r="AW51" s="52"/>
      <c r="AX51" s="52" t="str">
        <f t="shared" si="14"/>
        <v>ملتزم</v>
      </c>
      <c r="AY51" s="54" t="s">
        <v>69</v>
      </c>
      <c r="AZ51" s="43" t="s">
        <v>107</v>
      </c>
      <c r="BA51" s="55"/>
      <c r="BB51" s="55"/>
      <c r="BC51" s="55"/>
      <c r="BD51" s="54"/>
      <c r="BE51" s="68">
        <v>25415</v>
      </c>
      <c r="BF51" s="54"/>
      <c r="BG51" s="54"/>
      <c r="BH51" s="54"/>
      <c r="BI51" s="54" t="s">
        <v>76</v>
      </c>
      <c r="BJ51" s="54">
        <f>(U51+V51+AE51)-BD51-BE51</f>
        <v>18585</v>
      </c>
      <c r="BK51" s="54" t="s">
        <v>154</v>
      </c>
    </row>
    <row r="52" spans="1:63" ht="34.5" hidden="1" customHeight="1" x14ac:dyDescent="0.25">
      <c r="A52" s="35">
        <f t="shared" si="26"/>
        <v>9</v>
      </c>
      <c r="B52" s="35" t="s">
        <v>155</v>
      </c>
      <c r="C52" s="111">
        <v>20574671794</v>
      </c>
      <c r="D52" s="37" t="s">
        <v>106</v>
      </c>
      <c r="E52" s="37" t="b">
        <v>0</v>
      </c>
      <c r="F52" s="37"/>
      <c r="G52" s="65">
        <v>46022</v>
      </c>
      <c r="H52" s="35">
        <v>2</v>
      </c>
      <c r="I52" s="35" t="s">
        <v>156</v>
      </c>
      <c r="J52" s="81"/>
      <c r="K52" s="87">
        <v>7009379921</v>
      </c>
      <c r="L52" s="87">
        <v>505535555</v>
      </c>
      <c r="M52" s="81">
        <v>1038731657</v>
      </c>
      <c r="N52" s="35" t="s">
        <v>64</v>
      </c>
      <c r="O52" s="42" t="s">
        <v>97</v>
      </c>
      <c r="P52" s="35">
        <v>7.95</v>
      </c>
      <c r="Q52" s="35">
        <v>13.35</v>
      </c>
      <c r="R52" s="35">
        <f t="shared" si="21"/>
        <v>106.13249999999999</v>
      </c>
      <c r="S52" s="43">
        <v>140000</v>
      </c>
      <c r="T52" s="44">
        <f>S52*20/100</f>
        <v>28000</v>
      </c>
      <c r="U52" s="63">
        <f t="shared" si="25"/>
        <v>168000</v>
      </c>
      <c r="V52" s="106"/>
      <c r="W52" s="106"/>
      <c r="X52" s="52">
        <v>0</v>
      </c>
      <c r="Y52" s="48">
        <f t="shared" si="12"/>
        <v>0</v>
      </c>
      <c r="Z52" s="69">
        <v>0</v>
      </c>
      <c r="AA52" s="50">
        <f t="shared" si="13"/>
        <v>0</v>
      </c>
      <c r="AB52" s="50"/>
      <c r="AC52" s="52">
        <v>161000</v>
      </c>
      <c r="AD52" s="52">
        <f>S52*1.15-AC52</f>
        <v>0</v>
      </c>
      <c r="AE52" s="53">
        <f>S52*1.15+X52-AB52-AC52</f>
        <v>0</v>
      </c>
      <c r="AF52" s="52" t="b">
        <v>0</v>
      </c>
      <c r="AG52" s="52"/>
      <c r="AH52" s="52"/>
      <c r="AI52" s="52"/>
      <c r="AJ52" s="52"/>
      <c r="AK52" s="52"/>
      <c r="AL52" s="52"/>
      <c r="AM52" s="52" t="b">
        <v>0</v>
      </c>
      <c r="AN52" s="52"/>
      <c r="AO52" s="52"/>
      <c r="AP52" s="52"/>
      <c r="AQ52" s="52"/>
      <c r="AR52" s="52"/>
      <c r="AS52" s="52" t="b">
        <v>0</v>
      </c>
      <c r="AT52" s="52"/>
      <c r="AU52" s="52"/>
      <c r="AV52" s="52"/>
      <c r="AW52" s="52"/>
      <c r="AX52" s="52" t="str">
        <f t="shared" si="14"/>
        <v>ملتزم</v>
      </c>
      <c r="AY52" s="54" t="s">
        <v>69</v>
      </c>
      <c r="AZ52" s="43" t="s">
        <v>107</v>
      </c>
      <c r="BA52" s="55"/>
      <c r="BB52" s="55"/>
      <c r="BC52" s="55"/>
      <c r="BD52" s="54"/>
      <c r="BE52" s="68">
        <v>145071</v>
      </c>
      <c r="BF52" s="54"/>
      <c r="BG52" s="54"/>
      <c r="BH52" s="54"/>
      <c r="BI52" s="54" t="s">
        <v>76</v>
      </c>
      <c r="BJ52" s="54">
        <f>(U52+V52+AE52)-BD52-BE52</f>
        <v>22929</v>
      </c>
      <c r="BK52" s="54" t="s">
        <v>79</v>
      </c>
    </row>
    <row r="53" spans="1:63" ht="34.5" hidden="1" customHeight="1" x14ac:dyDescent="0.25">
      <c r="A53" s="35">
        <f t="shared" si="26"/>
        <v>10</v>
      </c>
      <c r="B53" s="35" t="s">
        <v>157</v>
      </c>
      <c r="C53" s="105">
        <v>20206530855</v>
      </c>
      <c r="D53" s="37" t="s">
        <v>106</v>
      </c>
      <c r="E53" s="37" t="b">
        <v>0</v>
      </c>
      <c r="F53" s="37"/>
      <c r="G53" s="113">
        <v>46022</v>
      </c>
      <c r="H53" s="35">
        <v>2</v>
      </c>
      <c r="I53" s="35" t="s">
        <v>158</v>
      </c>
      <c r="J53" s="95" t="s">
        <v>159</v>
      </c>
      <c r="K53" s="81">
        <v>7011040172</v>
      </c>
      <c r="L53" s="81">
        <v>506350670</v>
      </c>
      <c r="M53" s="81">
        <v>1025495670</v>
      </c>
      <c r="N53" s="35" t="s">
        <v>73</v>
      </c>
      <c r="O53" s="35" t="s">
        <v>97</v>
      </c>
      <c r="P53" s="35">
        <v>10.9</v>
      </c>
      <c r="Q53" s="35">
        <v>4</v>
      </c>
      <c r="R53" s="35">
        <f t="shared" si="21"/>
        <v>43.6</v>
      </c>
      <c r="S53" s="44">
        <v>60000</v>
      </c>
      <c r="T53" s="44">
        <f>S53*10/100</f>
        <v>6000</v>
      </c>
      <c r="U53" s="63">
        <f>S53+T53+200</f>
        <v>66200</v>
      </c>
      <c r="V53" s="44"/>
      <c r="W53" s="44"/>
      <c r="X53" s="54">
        <v>0</v>
      </c>
      <c r="Y53" s="89">
        <f t="shared" si="12"/>
        <v>0</v>
      </c>
      <c r="Z53" s="91">
        <v>0</v>
      </c>
      <c r="AA53" s="91">
        <f t="shared" si="13"/>
        <v>0</v>
      </c>
      <c r="AB53" s="91"/>
      <c r="AC53" s="54">
        <v>69000</v>
      </c>
      <c r="AD53" s="54">
        <f>S53*1.15-AC53</f>
        <v>0</v>
      </c>
      <c r="AE53" s="53">
        <f>S53*1.15+X53-AB53-AC53</f>
        <v>0</v>
      </c>
      <c r="AF53" s="52" t="b">
        <v>0</v>
      </c>
      <c r="AG53" s="52"/>
      <c r="AH53" s="52"/>
      <c r="AI53" s="52"/>
      <c r="AJ53" s="52"/>
      <c r="AK53" s="52"/>
      <c r="AL53" s="52"/>
      <c r="AM53" s="52" t="b">
        <v>0</v>
      </c>
      <c r="AN53" s="52"/>
      <c r="AO53" s="52"/>
      <c r="AP53" s="52"/>
      <c r="AQ53" s="52"/>
      <c r="AR53" s="52"/>
      <c r="AS53" s="52" t="b">
        <v>0</v>
      </c>
      <c r="AT53" s="54"/>
      <c r="AU53" s="54"/>
      <c r="AV53" s="54"/>
      <c r="AW53" s="54"/>
      <c r="AX53" s="54" t="str">
        <f t="shared" si="14"/>
        <v>ملتزم</v>
      </c>
      <c r="AY53" s="54" t="s">
        <v>69</v>
      </c>
      <c r="AZ53" s="43" t="s">
        <v>107</v>
      </c>
      <c r="BA53" s="55"/>
      <c r="BB53" s="55"/>
      <c r="BC53" s="55"/>
      <c r="BD53" s="54"/>
      <c r="BE53" s="68">
        <v>57096</v>
      </c>
      <c r="BF53" s="54"/>
      <c r="BG53" s="54"/>
      <c r="BH53" s="54"/>
      <c r="BI53" s="54" t="s">
        <v>112</v>
      </c>
      <c r="BJ53" s="54">
        <f>(U53+V53+AE53)-BD53-BE53</f>
        <v>9104</v>
      </c>
      <c r="BK53" s="54" t="s">
        <v>113</v>
      </c>
    </row>
    <row r="54" spans="1:63" ht="34.5" hidden="1" customHeight="1" x14ac:dyDescent="0.25">
      <c r="A54" s="35">
        <f t="shared" si="26"/>
        <v>11</v>
      </c>
      <c r="B54" s="35" t="s">
        <v>160</v>
      </c>
      <c r="C54" s="111">
        <v>20561706230</v>
      </c>
      <c r="D54" s="37" t="s">
        <v>106</v>
      </c>
      <c r="E54" s="37" t="b">
        <v>0</v>
      </c>
      <c r="F54" s="37"/>
      <c r="G54" s="65">
        <v>46022</v>
      </c>
      <c r="H54" s="35">
        <v>1</v>
      </c>
      <c r="I54" s="35">
        <v>42</v>
      </c>
      <c r="J54" s="95" t="s">
        <v>161</v>
      </c>
      <c r="K54" s="87">
        <v>7015008787</v>
      </c>
      <c r="L54" s="87">
        <v>567774949</v>
      </c>
      <c r="M54" s="81">
        <v>1007266081</v>
      </c>
      <c r="N54" s="35" t="s">
        <v>64</v>
      </c>
      <c r="O54" s="42" t="s">
        <v>97</v>
      </c>
      <c r="P54" s="35">
        <v>7.57</v>
      </c>
      <c r="Q54" s="35">
        <v>10.29</v>
      </c>
      <c r="R54" s="35">
        <f t="shared" si="21"/>
        <v>77.895299999999992</v>
      </c>
      <c r="S54" s="43">
        <v>80000</v>
      </c>
      <c r="T54" s="44">
        <f>S54*20/100</f>
        <v>16000</v>
      </c>
      <c r="U54" s="63">
        <f t="shared" ref="U54:U59" si="27">S54+T54</f>
        <v>96000</v>
      </c>
      <c r="V54" s="106"/>
      <c r="W54" s="106"/>
      <c r="X54" s="52">
        <v>0</v>
      </c>
      <c r="Y54" s="48">
        <f t="shared" si="12"/>
        <v>0</v>
      </c>
      <c r="Z54" s="69">
        <v>0</v>
      </c>
      <c r="AA54" s="50">
        <f t="shared" si="13"/>
        <v>0</v>
      </c>
      <c r="AB54" s="50"/>
      <c r="AC54" s="52">
        <v>92000</v>
      </c>
      <c r="AD54" s="52">
        <f>S54*1.15-AC54</f>
        <v>0</v>
      </c>
      <c r="AE54" s="53">
        <f>S54*1.15+X54-AB54-AC54</f>
        <v>0</v>
      </c>
      <c r="AF54" s="52" t="b">
        <v>0</v>
      </c>
      <c r="AG54" s="52"/>
      <c r="AH54" s="52"/>
      <c r="AI54" s="52"/>
      <c r="AJ54" s="52"/>
      <c r="AK54" s="52"/>
      <c r="AL54" s="52"/>
      <c r="AM54" s="52" t="b">
        <v>0</v>
      </c>
      <c r="AN54" s="52"/>
      <c r="AO54" s="52"/>
      <c r="AP54" s="52"/>
      <c r="AQ54" s="52"/>
      <c r="AR54" s="52"/>
      <c r="AS54" s="52" t="b">
        <v>0</v>
      </c>
      <c r="AT54" s="52"/>
      <c r="AU54" s="52"/>
      <c r="AV54" s="52"/>
      <c r="AW54" s="52"/>
      <c r="AX54" s="52" t="str">
        <f t="shared" si="14"/>
        <v>ملتزم</v>
      </c>
      <c r="AY54" s="54" t="s">
        <v>69</v>
      </c>
      <c r="AZ54" s="43" t="s">
        <v>107</v>
      </c>
      <c r="BA54" s="55"/>
      <c r="BB54" s="55"/>
      <c r="BC54" s="55"/>
      <c r="BD54" s="54"/>
      <c r="BE54" s="68">
        <v>110628</v>
      </c>
      <c r="BF54" s="54"/>
      <c r="BG54" s="54"/>
      <c r="BH54" s="54"/>
      <c r="BI54" s="54" t="s">
        <v>76</v>
      </c>
      <c r="BJ54" s="54">
        <f>(U54+V54+AE54)-BD54-BE54</f>
        <v>-14628</v>
      </c>
      <c r="BK54" s="54" t="s">
        <v>154</v>
      </c>
    </row>
    <row r="55" spans="1:63" ht="34.5" hidden="1" customHeight="1" x14ac:dyDescent="0.25">
      <c r="A55" s="35">
        <f t="shared" si="26"/>
        <v>12</v>
      </c>
      <c r="B55" s="35" t="s">
        <v>162</v>
      </c>
      <c r="C55" s="35">
        <v>20491402564</v>
      </c>
      <c r="D55" s="37" t="s">
        <v>106</v>
      </c>
      <c r="E55" s="37" t="b">
        <v>0</v>
      </c>
      <c r="F55" s="37"/>
      <c r="G55" s="65">
        <v>46022</v>
      </c>
      <c r="H55" s="35">
        <v>1</v>
      </c>
      <c r="I55" s="35">
        <v>118</v>
      </c>
      <c r="J55" s="95">
        <v>26318</v>
      </c>
      <c r="K55" s="81">
        <v>7001492045</v>
      </c>
      <c r="L55" s="81">
        <v>555417960</v>
      </c>
      <c r="M55" s="81">
        <v>2136181720</v>
      </c>
      <c r="N55" s="35" t="s">
        <v>64</v>
      </c>
      <c r="O55" s="42" t="s">
        <v>84</v>
      </c>
      <c r="P55" s="35">
        <v>8.1</v>
      </c>
      <c r="Q55" s="35">
        <v>10</v>
      </c>
      <c r="R55" s="35">
        <f t="shared" si="21"/>
        <v>81</v>
      </c>
      <c r="S55" s="43">
        <v>26000</v>
      </c>
      <c r="T55" s="44">
        <f t="shared" ref="T55:T57" si="28">S55*10/100</f>
        <v>2600</v>
      </c>
      <c r="U55" s="63">
        <f t="shared" si="27"/>
        <v>28600</v>
      </c>
      <c r="V55" s="46">
        <v>32200</v>
      </c>
      <c r="W55" s="46"/>
      <c r="X55" s="82"/>
      <c r="Y55" s="48">
        <f t="shared" si="12"/>
        <v>0</v>
      </c>
      <c r="Z55" s="83">
        <v>0</v>
      </c>
      <c r="AA55" s="50">
        <f t="shared" si="13"/>
        <v>0</v>
      </c>
      <c r="AB55" s="50"/>
      <c r="AC55" s="82">
        <v>29900</v>
      </c>
      <c r="AD55" s="52">
        <f>S55*1.15-AC55</f>
        <v>0</v>
      </c>
      <c r="AE55" s="53">
        <f>S55*1.15+X55-AB55-AC55</f>
        <v>0</v>
      </c>
      <c r="AF55" s="52" t="b">
        <v>0</v>
      </c>
      <c r="AG55" s="52"/>
      <c r="AH55" s="52"/>
      <c r="AI55" s="52"/>
      <c r="AJ55" s="52"/>
      <c r="AK55" s="52"/>
      <c r="AL55" s="52"/>
      <c r="AM55" s="52" t="b">
        <v>0</v>
      </c>
      <c r="AN55" s="52"/>
      <c r="AO55" s="52"/>
      <c r="AP55" s="52"/>
      <c r="AQ55" s="52"/>
      <c r="AR55" s="52"/>
      <c r="AS55" s="52" t="b">
        <v>0</v>
      </c>
      <c r="AT55" s="52"/>
      <c r="AU55" s="52"/>
      <c r="AV55" s="52"/>
      <c r="AW55" s="52"/>
      <c r="AX55" s="52" t="str">
        <f t="shared" si="14"/>
        <v>ملتزم</v>
      </c>
      <c r="AY55" s="54" t="s">
        <v>77</v>
      </c>
      <c r="AZ55" s="43" t="s">
        <v>107</v>
      </c>
      <c r="BA55" s="55"/>
      <c r="BB55" s="55"/>
      <c r="BC55" s="55"/>
      <c r="BD55" s="54"/>
      <c r="BE55" s="54"/>
      <c r="BF55" s="54"/>
      <c r="BG55" s="54"/>
      <c r="BH55" s="54"/>
      <c r="BI55" s="54" t="s">
        <v>72</v>
      </c>
      <c r="BJ55" s="54">
        <f>(U55+V55+AE55)-BD55-BE55</f>
        <v>60800</v>
      </c>
      <c r="BK55" s="54"/>
    </row>
    <row r="56" spans="1:63" ht="34.5" hidden="1" customHeight="1" x14ac:dyDescent="0.25">
      <c r="A56" s="35">
        <f t="shared" si="26"/>
        <v>13</v>
      </c>
      <c r="B56" s="75" t="s">
        <v>163</v>
      </c>
      <c r="C56" s="75">
        <v>20591852488</v>
      </c>
      <c r="D56" s="37" t="s">
        <v>149</v>
      </c>
      <c r="E56" s="37" t="b">
        <v>0</v>
      </c>
      <c r="F56" s="37"/>
      <c r="G56" s="65">
        <v>46022</v>
      </c>
      <c r="H56" s="76">
        <v>1</v>
      </c>
      <c r="I56" s="76">
        <v>76</v>
      </c>
      <c r="J56" s="78" t="s">
        <v>164</v>
      </c>
      <c r="K56" s="79">
        <v>7013043224</v>
      </c>
      <c r="L56" s="79">
        <v>560266123</v>
      </c>
      <c r="M56" s="79">
        <v>1041171529</v>
      </c>
      <c r="N56" s="35" t="s">
        <v>73</v>
      </c>
      <c r="O56" s="42" t="s">
        <v>74</v>
      </c>
      <c r="P56" s="35"/>
      <c r="Q56" s="35"/>
      <c r="R56" s="35">
        <v>37.17</v>
      </c>
      <c r="S56" s="80">
        <v>30000</v>
      </c>
      <c r="T56" s="44">
        <f t="shared" si="28"/>
        <v>3000</v>
      </c>
      <c r="U56" s="63">
        <f t="shared" si="27"/>
        <v>33000</v>
      </c>
      <c r="V56" s="64"/>
      <c r="W56" s="64"/>
      <c r="X56" s="101">
        <v>46977</v>
      </c>
      <c r="Y56" s="48">
        <f t="shared" si="12"/>
        <v>40849.565217391304</v>
      </c>
      <c r="Z56" s="127">
        <v>0</v>
      </c>
      <c r="AA56" s="50">
        <f t="shared" si="13"/>
        <v>0</v>
      </c>
      <c r="AB56" s="50">
        <v>46977</v>
      </c>
      <c r="AC56" s="51">
        <v>34500</v>
      </c>
      <c r="AD56" s="52">
        <f>S56*1.15-AC56</f>
        <v>0</v>
      </c>
      <c r="AE56" s="53">
        <f>S56*1.15+X56-AB56-AC56</f>
        <v>0</v>
      </c>
      <c r="AF56" s="52" t="b">
        <v>0</v>
      </c>
      <c r="AG56" s="52"/>
      <c r="AH56" s="52"/>
      <c r="AI56" s="52"/>
      <c r="AJ56" s="52"/>
      <c r="AK56" s="52"/>
      <c r="AL56" s="52"/>
      <c r="AM56" s="52" t="b">
        <v>0</v>
      </c>
      <c r="AN56" s="52"/>
      <c r="AO56" s="52"/>
      <c r="AP56" s="52"/>
      <c r="AQ56" s="52"/>
      <c r="AR56" s="52"/>
      <c r="AS56" s="52" t="b">
        <v>0</v>
      </c>
      <c r="AT56" s="52"/>
      <c r="AU56" s="52"/>
      <c r="AV56" s="52"/>
      <c r="AW56" s="52"/>
      <c r="AX56" s="52" t="str">
        <f t="shared" si="14"/>
        <v>ملتزم</v>
      </c>
      <c r="AY56" s="54" t="s">
        <v>140</v>
      </c>
      <c r="AZ56" s="43" t="s">
        <v>107</v>
      </c>
      <c r="BA56" s="55"/>
      <c r="BB56" s="55"/>
      <c r="BC56" s="55"/>
      <c r="BD56" s="54"/>
      <c r="BE56" s="68">
        <v>19090</v>
      </c>
      <c r="BF56" s="54"/>
      <c r="BG56" s="54"/>
      <c r="BH56" s="54"/>
      <c r="BI56" s="54" t="s">
        <v>76</v>
      </c>
      <c r="BJ56" s="54">
        <f>(U56+V56+AE56)-BD56-BE56</f>
        <v>13910</v>
      </c>
      <c r="BK56" s="54" t="s">
        <v>79</v>
      </c>
    </row>
    <row r="57" spans="1:63" ht="34.5" hidden="1" customHeight="1" x14ac:dyDescent="0.25">
      <c r="A57" s="35">
        <f t="shared" si="26"/>
        <v>14</v>
      </c>
      <c r="B57" s="75" t="s">
        <v>163</v>
      </c>
      <c r="C57" s="75"/>
      <c r="D57" s="37" t="s">
        <v>149</v>
      </c>
      <c r="E57" s="37" t="b">
        <v>0</v>
      </c>
      <c r="F57" s="37"/>
      <c r="G57" s="65">
        <v>46022</v>
      </c>
      <c r="H57" s="76">
        <v>1</v>
      </c>
      <c r="I57" s="76">
        <v>77</v>
      </c>
      <c r="J57" s="78" t="s">
        <v>164</v>
      </c>
      <c r="K57" s="79">
        <v>7013043224</v>
      </c>
      <c r="L57" s="79">
        <v>560266123</v>
      </c>
      <c r="M57" s="79">
        <v>1041171529</v>
      </c>
      <c r="N57" s="35" t="s">
        <v>73</v>
      </c>
      <c r="O57" s="42" t="s">
        <v>74</v>
      </c>
      <c r="P57" s="35"/>
      <c r="Q57" s="35"/>
      <c r="R57" s="35">
        <v>92.92</v>
      </c>
      <c r="S57" s="80">
        <v>34000</v>
      </c>
      <c r="T57" s="44">
        <f t="shared" si="28"/>
        <v>3400</v>
      </c>
      <c r="U57" s="63">
        <f t="shared" si="27"/>
        <v>37400</v>
      </c>
      <c r="V57" s="64"/>
      <c r="W57" s="64"/>
      <c r="X57" s="52">
        <v>0</v>
      </c>
      <c r="Y57" s="48">
        <f t="shared" si="12"/>
        <v>0</v>
      </c>
      <c r="Z57" s="69">
        <v>0</v>
      </c>
      <c r="AA57" s="50">
        <f t="shared" si="13"/>
        <v>0</v>
      </c>
      <c r="AB57" s="50"/>
      <c r="AC57" s="52">
        <v>39100</v>
      </c>
      <c r="AD57" s="52">
        <f>S57*1.15-AC57</f>
        <v>0</v>
      </c>
      <c r="AE57" s="53">
        <f>S57*1.15+X57-AB57-AC57</f>
        <v>0</v>
      </c>
      <c r="AF57" s="52" t="b">
        <v>0</v>
      </c>
      <c r="AG57" s="52"/>
      <c r="AH57" s="52"/>
      <c r="AI57" s="52"/>
      <c r="AJ57" s="52"/>
      <c r="AK57" s="52"/>
      <c r="AL57" s="52"/>
      <c r="AM57" s="52" t="b">
        <v>0</v>
      </c>
      <c r="AN57" s="52"/>
      <c r="AO57" s="52"/>
      <c r="AP57" s="52"/>
      <c r="AQ57" s="52"/>
      <c r="AR57" s="52"/>
      <c r="AS57" s="52" t="b">
        <v>0</v>
      </c>
      <c r="AT57" s="52"/>
      <c r="AU57" s="52"/>
      <c r="AV57" s="52"/>
      <c r="AW57" s="52"/>
      <c r="AX57" s="52" t="str">
        <f t="shared" si="14"/>
        <v>ملتزم</v>
      </c>
      <c r="AY57" s="54" t="s">
        <v>85</v>
      </c>
      <c r="AZ57" s="43" t="s">
        <v>107</v>
      </c>
      <c r="BA57" s="70"/>
      <c r="BB57" s="70"/>
      <c r="BC57" s="70"/>
      <c r="BD57" s="54"/>
      <c r="BE57" s="68">
        <v>21620</v>
      </c>
      <c r="BF57" s="54"/>
      <c r="BG57" s="54"/>
      <c r="BH57" s="54"/>
      <c r="BI57" s="54" t="s">
        <v>76</v>
      </c>
      <c r="BJ57" s="54">
        <f>(U57+V57+AE57)-BD57-BE57</f>
        <v>15780</v>
      </c>
      <c r="BK57" s="54" t="s">
        <v>79</v>
      </c>
    </row>
    <row r="58" spans="1:63" ht="34.5" hidden="1" customHeight="1" x14ac:dyDescent="0.25">
      <c r="A58" s="35">
        <f t="shared" si="26"/>
        <v>15</v>
      </c>
      <c r="B58" s="35" t="s">
        <v>165</v>
      </c>
      <c r="C58" s="105">
        <v>20963642170</v>
      </c>
      <c r="D58" s="37" t="s">
        <v>106</v>
      </c>
      <c r="E58" s="37" t="b">
        <v>0</v>
      </c>
      <c r="F58" s="37"/>
      <c r="G58" s="65">
        <v>46022</v>
      </c>
      <c r="H58" s="35">
        <v>6</v>
      </c>
      <c r="I58" s="35" t="s">
        <v>166</v>
      </c>
      <c r="J58" s="95" t="s">
        <v>164</v>
      </c>
      <c r="K58" s="81"/>
      <c r="L58" s="81"/>
      <c r="M58" s="81">
        <v>1041171529</v>
      </c>
      <c r="N58" s="35" t="s">
        <v>73</v>
      </c>
      <c r="O58" s="35" t="s">
        <v>97</v>
      </c>
      <c r="P58" s="35">
        <v>14</v>
      </c>
      <c r="Q58" s="35">
        <v>9.5</v>
      </c>
      <c r="R58" s="35">
        <f>P58*Q58</f>
        <v>133</v>
      </c>
      <c r="S58" s="44">
        <v>187000</v>
      </c>
      <c r="T58" s="44">
        <f>S58*20/100</f>
        <v>37400</v>
      </c>
      <c r="U58" s="63">
        <f t="shared" si="27"/>
        <v>224400</v>
      </c>
      <c r="V58" s="106"/>
      <c r="W58" s="106"/>
      <c r="X58" s="52">
        <v>0</v>
      </c>
      <c r="Y58" s="48">
        <f t="shared" si="12"/>
        <v>0</v>
      </c>
      <c r="Z58" s="50">
        <v>0</v>
      </c>
      <c r="AA58" s="50">
        <f t="shared" si="13"/>
        <v>0</v>
      </c>
      <c r="AB58" s="50"/>
      <c r="AC58" s="52">
        <v>215050</v>
      </c>
      <c r="AD58" s="52">
        <f>S58*1.15-AC58</f>
        <v>0</v>
      </c>
      <c r="AE58" s="52">
        <f>S58*1.15+X58-AB58-AC58</f>
        <v>0</v>
      </c>
      <c r="AF58" s="52" t="b">
        <v>0</v>
      </c>
      <c r="AG58" s="52"/>
      <c r="AH58" s="52"/>
      <c r="AI58" s="52"/>
      <c r="AJ58" s="52"/>
      <c r="AK58" s="52"/>
      <c r="AL58" s="52"/>
      <c r="AM58" s="52" t="b">
        <v>0</v>
      </c>
      <c r="AN58" s="52"/>
      <c r="AO58" s="52"/>
      <c r="AP58" s="52"/>
      <c r="AQ58" s="52"/>
      <c r="AR58" s="52"/>
      <c r="AS58" s="52" t="b">
        <v>0</v>
      </c>
      <c r="AT58" s="52"/>
      <c r="AU58" s="52"/>
      <c r="AV58" s="52"/>
      <c r="AW58" s="52"/>
      <c r="AX58" s="52" t="str">
        <f t="shared" si="14"/>
        <v>ملتزم</v>
      </c>
      <c r="AY58" s="54" t="s">
        <v>69</v>
      </c>
      <c r="AZ58" s="43" t="s">
        <v>107</v>
      </c>
      <c r="BA58" s="55"/>
      <c r="BB58" s="55"/>
      <c r="BC58" s="55"/>
      <c r="BD58" s="54"/>
      <c r="BE58" s="68">
        <v>129144</v>
      </c>
      <c r="BF58" s="54"/>
      <c r="BG58" s="54"/>
      <c r="BH58" s="54"/>
      <c r="BI58" s="54" t="s">
        <v>76</v>
      </c>
      <c r="BJ58" s="54">
        <f>(U58+V58+AE58)-BD58-BE58</f>
        <v>95256</v>
      </c>
      <c r="BK58" s="54" t="s">
        <v>113</v>
      </c>
    </row>
    <row r="59" spans="1:63" ht="34.5" hidden="1" customHeight="1" x14ac:dyDescent="0.25">
      <c r="A59" s="35">
        <f t="shared" si="26"/>
        <v>16</v>
      </c>
      <c r="B59" s="75" t="s">
        <v>167</v>
      </c>
      <c r="C59" s="75">
        <v>20376256664</v>
      </c>
      <c r="D59" s="37" t="s">
        <v>106</v>
      </c>
      <c r="E59" s="37" t="b">
        <v>0</v>
      </c>
      <c r="F59" s="37"/>
      <c r="G59" s="65">
        <v>46022</v>
      </c>
      <c r="H59" s="76">
        <v>1</v>
      </c>
      <c r="I59" s="76">
        <v>79</v>
      </c>
      <c r="J59" s="78">
        <v>18629</v>
      </c>
      <c r="K59" s="79">
        <v>7012163320</v>
      </c>
      <c r="L59" s="79">
        <v>505628550</v>
      </c>
      <c r="M59" s="79">
        <v>2043520259</v>
      </c>
      <c r="N59" s="35" t="s">
        <v>73</v>
      </c>
      <c r="O59" s="42" t="s">
        <v>74</v>
      </c>
      <c r="P59" s="35"/>
      <c r="Q59" s="35"/>
      <c r="R59" s="35">
        <v>127.79</v>
      </c>
      <c r="S59" s="80">
        <v>40500</v>
      </c>
      <c r="T59" s="44">
        <f>S59*10/100</f>
        <v>4050</v>
      </c>
      <c r="U59" s="63">
        <f t="shared" si="27"/>
        <v>44550</v>
      </c>
      <c r="V59" s="64"/>
      <c r="W59" s="64"/>
      <c r="X59" s="52"/>
      <c r="Y59" s="48">
        <f t="shared" si="12"/>
        <v>0</v>
      </c>
      <c r="Z59" s="69">
        <v>0</v>
      </c>
      <c r="AA59" s="50">
        <f t="shared" si="13"/>
        <v>0</v>
      </c>
      <c r="AB59" s="50"/>
      <c r="AC59" s="52">
        <v>46575</v>
      </c>
      <c r="AD59" s="52">
        <f>S59*1.15-AC59</f>
        <v>0</v>
      </c>
      <c r="AE59" s="53">
        <f>S59*1.15+X59-AB59-AC59</f>
        <v>0</v>
      </c>
      <c r="AF59" s="52" t="b">
        <v>0</v>
      </c>
      <c r="AG59" s="52"/>
      <c r="AH59" s="52"/>
      <c r="AI59" s="52"/>
      <c r="AJ59" s="52"/>
      <c r="AK59" s="52"/>
      <c r="AL59" s="52"/>
      <c r="AM59" s="52" t="b">
        <v>0</v>
      </c>
      <c r="AN59" s="52"/>
      <c r="AO59" s="52"/>
      <c r="AP59" s="52"/>
      <c r="AQ59" s="52"/>
      <c r="AR59" s="52"/>
      <c r="AS59" s="52" t="b">
        <v>0</v>
      </c>
      <c r="AT59" s="52"/>
      <c r="AU59" s="52"/>
      <c r="AV59" s="52"/>
      <c r="AW59" s="52"/>
      <c r="AX59" s="52" t="str">
        <f t="shared" si="14"/>
        <v>ملتزم</v>
      </c>
      <c r="AY59" s="54" t="s">
        <v>77</v>
      </c>
      <c r="AZ59" s="43" t="s">
        <v>107</v>
      </c>
      <c r="BA59" s="55"/>
      <c r="BB59" s="55"/>
      <c r="BC59" s="55"/>
      <c r="BD59" s="54"/>
      <c r="BE59" s="68">
        <v>38598</v>
      </c>
      <c r="BF59" s="54"/>
      <c r="BG59" s="54"/>
      <c r="BH59" s="54"/>
      <c r="BI59" s="54" t="s">
        <v>76</v>
      </c>
      <c r="BJ59" s="54">
        <f>(U59+V59+AE59)-BD59-BE59</f>
        <v>5952</v>
      </c>
      <c r="BK59" s="54" t="s">
        <v>113</v>
      </c>
    </row>
    <row r="60" spans="1:63" ht="34.5" hidden="1" customHeight="1" x14ac:dyDescent="0.25">
      <c r="A60" s="35">
        <f t="shared" si="26"/>
        <v>17</v>
      </c>
      <c r="B60" s="35" t="s">
        <v>167</v>
      </c>
      <c r="C60" s="105">
        <v>20417461223</v>
      </c>
      <c r="D60" s="37" t="s">
        <v>106</v>
      </c>
      <c r="E60" s="37" t="b">
        <v>0</v>
      </c>
      <c r="F60" s="37"/>
      <c r="G60" s="65">
        <v>46022</v>
      </c>
      <c r="H60" s="35">
        <v>3</v>
      </c>
      <c r="I60" s="35" t="s">
        <v>168</v>
      </c>
      <c r="J60" s="110">
        <v>18629</v>
      </c>
      <c r="K60" s="87">
        <v>7012163320</v>
      </c>
      <c r="L60" s="120">
        <v>50628550</v>
      </c>
      <c r="M60" s="81">
        <v>2043520259</v>
      </c>
      <c r="N60" s="35" t="s">
        <v>73</v>
      </c>
      <c r="O60" s="35" t="s">
        <v>97</v>
      </c>
      <c r="P60" s="35">
        <v>4.24</v>
      </c>
      <c r="Q60" s="35">
        <v>8.1</v>
      </c>
      <c r="R60" s="35">
        <f t="shared" ref="R60:R73" si="29">P60*Q60</f>
        <v>34.344000000000001</v>
      </c>
      <c r="S60" s="44">
        <v>96000</v>
      </c>
      <c r="T60" s="44">
        <v>13100</v>
      </c>
      <c r="U60" s="63">
        <v>109100</v>
      </c>
      <c r="V60" s="106"/>
      <c r="W60" s="106"/>
      <c r="X60" s="52">
        <v>0</v>
      </c>
      <c r="Y60" s="48">
        <f t="shared" si="12"/>
        <v>0</v>
      </c>
      <c r="Z60" s="50">
        <v>0</v>
      </c>
      <c r="AA60" s="50">
        <f t="shared" si="13"/>
        <v>0</v>
      </c>
      <c r="AB60" s="50"/>
      <c r="AC60" s="52">
        <v>110400</v>
      </c>
      <c r="AD60" s="52">
        <f>S60*1.15-AC60</f>
        <v>0</v>
      </c>
      <c r="AE60" s="53">
        <f>S60*1.15+X60-AB60-AC60</f>
        <v>0</v>
      </c>
      <c r="AF60" s="52" t="b">
        <v>0</v>
      </c>
      <c r="AG60" s="52"/>
      <c r="AH60" s="52"/>
      <c r="AI60" s="52"/>
      <c r="AJ60" s="52"/>
      <c r="AK60" s="52"/>
      <c r="AL60" s="52"/>
      <c r="AM60" s="52" t="b">
        <v>0</v>
      </c>
      <c r="AN60" s="52"/>
      <c r="AO60" s="52"/>
      <c r="AP60" s="52"/>
      <c r="AQ60" s="52"/>
      <c r="AR60" s="52"/>
      <c r="AS60" s="52" t="b">
        <v>0</v>
      </c>
      <c r="AT60" s="52"/>
      <c r="AU60" s="52"/>
      <c r="AV60" s="52"/>
      <c r="AW60" s="52"/>
      <c r="AX60" s="52" t="str">
        <f t="shared" si="14"/>
        <v>ملتزم</v>
      </c>
      <c r="AY60" s="54" t="s">
        <v>69</v>
      </c>
      <c r="AZ60" s="43" t="s">
        <v>107</v>
      </c>
      <c r="BA60" s="55"/>
      <c r="BB60" s="55"/>
      <c r="BC60" s="55"/>
      <c r="BD60" s="54"/>
      <c r="BE60" s="68">
        <v>94098</v>
      </c>
      <c r="BF60" s="54"/>
      <c r="BG60" s="54"/>
      <c r="BH60" s="54"/>
      <c r="BI60" s="54" t="s">
        <v>76</v>
      </c>
      <c r="BJ60" s="54">
        <f>(U60+V60+AE60)-BD60-BE60</f>
        <v>15002</v>
      </c>
      <c r="BK60" s="54" t="s">
        <v>79</v>
      </c>
    </row>
    <row r="61" spans="1:63" ht="34.5" hidden="1" customHeight="1" x14ac:dyDescent="0.25">
      <c r="A61" s="35">
        <f t="shared" si="26"/>
        <v>18</v>
      </c>
      <c r="B61" s="35" t="s">
        <v>169</v>
      </c>
      <c r="C61" s="105">
        <v>20766045103</v>
      </c>
      <c r="D61" s="37" t="s">
        <v>106</v>
      </c>
      <c r="E61" s="37" t="b">
        <v>0</v>
      </c>
      <c r="F61" s="37"/>
      <c r="G61" s="113">
        <v>46022</v>
      </c>
      <c r="H61" s="35">
        <v>4</v>
      </c>
      <c r="I61" s="35" t="s">
        <v>170</v>
      </c>
      <c r="J61" s="95" t="s">
        <v>171</v>
      </c>
      <c r="K61" s="87">
        <v>7017212999</v>
      </c>
      <c r="L61" s="87">
        <v>568576677</v>
      </c>
      <c r="M61" s="81">
        <v>1004081194</v>
      </c>
      <c r="N61" s="35" t="s">
        <v>73</v>
      </c>
      <c r="O61" s="35" t="s">
        <v>97</v>
      </c>
      <c r="P61" s="35">
        <v>8.4</v>
      </c>
      <c r="Q61" s="35">
        <v>7.7</v>
      </c>
      <c r="R61" s="35">
        <f t="shared" si="29"/>
        <v>64.680000000000007</v>
      </c>
      <c r="S61" s="44">
        <v>128000</v>
      </c>
      <c r="T61" s="44">
        <f>S61*20/100</f>
        <v>25600</v>
      </c>
      <c r="U61" s="63">
        <v>147200</v>
      </c>
      <c r="V61" s="44"/>
      <c r="W61" s="44"/>
      <c r="X61" s="54">
        <v>0</v>
      </c>
      <c r="Y61" s="89">
        <f t="shared" si="12"/>
        <v>0</v>
      </c>
      <c r="Z61" s="91">
        <v>0</v>
      </c>
      <c r="AA61" s="91">
        <f t="shared" si="13"/>
        <v>0</v>
      </c>
      <c r="AB61" s="91"/>
      <c r="AC61" s="54">
        <v>147200</v>
      </c>
      <c r="AD61" s="54">
        <f>S61*1.15-AC61</f>
        <v>0</v>
      </c>
      <c r="AE61" s="53">
        <f>S61*1.15+X61-AB61-AC61</f>
        <v>0</v>
      </c>
      <c r="AF61" s="54" t="b">
        <v>0</v>
      </c>
      <c r="AG61" s="54"/>
      <c r="AH61" s="54"/>
      <c r="AI61" s="54"/>
      <c r="AJ61" s="54"/>
      <c r="AK61" s="54"/>
      <c r="AL61" s="54"/>
      <c r="AM61" s="54" t="b">
        <v>0</v>
      </c>
      <c r="AN61" s="54"/>
      <c r="AO61" s="54"/>
      <c r="AP61" s="54"/>
      <c r="AQ61" s="54"/>
      <c r="AR61" s="54"/>
      <c r="AS61" s="54" t="b">
        <v>0</v>
      </c>
      <c r="AT61" s="54"/>
      <c r="AU61" s="54"/>
      <c r="AV61" s="54"/>
      <c r="AW61" s="54"/>
      <c r="AX61" s="54" t="str">
        <f t="shared" si="14"/>
        <v>ملتزم</v>
      </c>
      <c r="AY61" s="54" t="s">
        <v>69</v>
      </c>
      <c r="AZ61" s="43" t="s">
        <v>107</v>
      </c>
      <c r="BA61" s="55"/>
      <c r="BB61" s="55"/>
      <c r="BC61" s="55"/>
      <c r="BD61" s="54"/>
      <c r="BE61" s="68">
        <v>84754</v>
      </c>
      <c r="BF61" s="54"/>
      <c r="BG61" s="54"/>
      <c r="BH61" s="54"/>
      <c r="BI61" s="54" t="s">
        <v>76</v>
      </c>
      <c r="BJ61" s="54">
        <f>(U61+V61+AE61)-BD61-BE61</f>
        <v>62446</v>
      </c>
      <c r="BK61" s="54" t="s">
        <v>113</v>
      </c>
    </row>
    <row r="62" spans="1:63" ht="34.5" hidden="1" customHeight="1" x14ac:dyDescent="0.25">
      <c r="A62" s="35">
        <f t="shared" si="26"/>
        <v>19</v>
      </c>
      <c r="B62" s="35" t="s">
        <v>172</v>
      </c>
      <c r="C62" s="105">
        <v>20565592525</v>
      </c>
      <c r="D62" s="37" t="s">
        <v>106</v>
      </c>
      <c r="E62" s="37" t="b">
        <v>0</v>
      </c>
      <c r="F62" s="37"/>
      <c r="G62" s="113">
        <v>46022</v>
      </c>
      <c r="H62" s="35">
        <v>4</v>
      </c>
      <c r="I62" s="35" t="s">
        <v>173</v>
      </c>
      <c r="J62" s="95" t="s">
        <v>174</v>
      </c>
      <c r="K62" s="81">
        <v>7011187445</v>
      </c>
      <c r="L62" s="81">
        <v>555543476</v>
      </c>
      <c r="M62" s="81">
        <v>1008603555</v>
      </c>
      <c r="N62" s="35" t="s">
        <v>73</v>
      </c>
      <c r="O62" s="35" t="s">
        <v>97</v>
      </c>
      <c r="P62" s="35">
        <v>14</v>
      </c>
      <c r="Q62" s="35">
        <v>7</v>
      </c>
      <c r="R62" s="35">
        <f t="shared" si="29"/>
        <v>98</v>
      </c>
      <c r="S62" s="44">
        <v>128000</v>
      </c>
      <c r="T62" s="44">
        <f>S62*10/100</f>
        <v>12800</v>
      </c>
      <c r="U62" s="63">
        <f>S62+T62+200</f>
        <v>141000</v>
      </c>
      <c r="V62" s="44"/>
      <c r="W62" s="44"/>
      <c r="X62" s="54">
        <v>0</v>
      </c>
      <c r="Y62" s="89">
        <f t="shared" si="12"/>
        <v>0</v>
      </c>
      <c r="Z62" s="91">
        <v>0</v>
      </c>
      <c r="AA62" s="91">
        <v>0</v>
      </c>
      <c r="AB62" s="91"/>
      <c r="AC62" s="54">
        <v>147200</v>
      </c>
      <c r="AD62" s="54">
        <f>S62*1.15-AC62</f>
        <v>0</v>
      </c>
      <c r="AE62" s="53">
        <f>S62*1.15+X62-AB62-AC62</f>
        <v>0</v>
      </c>
      <c r="AF62" s="52" t="b">
        <v>0</v>
      </c>
      <c r="AG62" s="52"/>
      <c r="AH62" s="52"/>
      <c r="AI62" s="52"/>
      <c r="AJ62" s="52"/>
      <c r="AK62" s="52"/>
      <c r="AL62" s="52"/>
      <c r="AM62" s="52" t="b">
        <v>0</v>
      </c>
      <c r="AN62" s="52"/>
      <c r="AO62" s="52"/>
      <c r="AP62" s="52"/>
      <c r="AQ62" s="52"/>
      <c r="AR62" s="52"/>
      <c r="AS62" s="52" t="b">
        <v>0</v>
      </c>
      <c r="AT62" s="54"/>
      <c r="AU62" s="54"/>
      <c r="AV62" s="54"/>
      <c r="AW62" s="54"/>
      <c r="AX62" s="54" t="str">
        <f t="shared" si="14"/>
        <v>ملتزم</v>
      </c>
      <c r="AY62" s="54" t="s">
        <v>69</v>
      </c>
      <c r="AZ62" s="43" t="s">
        <v>107</v>
      </c>
      <c r="BA62" s="55"/>
      <c r="BB62" s="55"/>
      <c r="BC62" s="55"/>
      <c r="BD62" s="54"/>
      <c r="BE62" s="68">
        <v>81074</v>
      </c>
      <c r="BF62" s="54"/>
      <c r="BG62" s="54"/>
      <c r="BH62" s="54"/>
      <c r="BI62" s="54" t="s">
        <v>76</v>
      </c>
      <c r="BJ62" s="54">
        <f>(U62+V62+AE62)-BD62-BE62</f>
        <v>59926</v>
      </c>
      <c r="BK62" s="54" t="s">
        <v>113</v>
      </c>
    </row>
    <row r="63" spans="1:63" ht="34.5" hidden="1" customHeight="1" x14ac:dyDescent="0.25">
      <c r="A63" s="35">
        <f t="shared" si="26"/>
        <v>20</v>
      </c>
      <c r="B63" s="35" t="s">
        <v>175</v>
      </c>
      <c r="C63" s="35">
        <v>20625606167</v>
      </c>
      <c r="D63" s="37" t="s">
        <v>100</v>
      </c>
      <c r="E63" s="37" t="b">
        <v>0</v>
      </c>
      <c r="F63" s="37"/>
      <c r="G63" s="65">
        <v>45657</v>
      </c>
      <c r="H63" s="35">
        <v>1</v>
      </c>
      <c r="I63" s="35">
        <v>138</v>
      </c>
      <c r="J63" s="95" t="s">
        <v>174</v>
      </c>
      <c r="K63" s="87">
        <v>7011187445</v>
      </c>
      <c r="L63" s="87">
        <v>555543476</v>
      </c>
      <c r="M63" s="81">
        <v>1008603555</v>
      </c>
      <c r="N63" s="35" t="s">
        <v>64</v>
      </c>
      <c r="O63" s="42" t="s">
        <v>84</v>
      </c>
      <c r="P63" s="35">
        <v>9.6999999999999993</v>
      </c>
      <c r="Q63" s="35">
        <v>9.8000000000000007</v>
      </c>
      <c r="R63" s="35">
        <f t="shared" si="29"/>
        <v>95.06</v>
      </c>
      <c r="S63" s="43">
        <v>30000</v>
      </c>
      <c r="T63" s="44"/>
      <c r="U63" s="45"/>
      <c r="V63" s="46">
        <v>42777</v>
      </c>
      <c r="W63" s="46"/>
      <c r="X63" s="54">
        <v>0</v>
      </c>
      <c r="Y63" s="89">
        <f t="shared" si="12"/>
        <v>0</v>
      </c>
      <c r="Z63" s="96">
        <v>0</v>
      </c>
      <c r="AA63" s="91">
        <f t="shared" ref="AA63:AA82" si="30">Z63/1.15</f>
        <v>0</v>
      </c>
      <c r="AB63" s="91"/>
      <c r="AC63" s="54">
        <v>34500</v>
      </c>
      <c r="AD63" s="54">
        <f>S63*1.15-AC63</f>
        <v>0</v>
      </c>
      <c r="AE63" s="53">
        <f>S63*1.15+X63-AB63-AC63</f>
        <v>0</v>
      </c>
      <c r="AF63" s="54" t="b">
        <v>0</v>
      </c>
      <c r="AG63" s="54"/>
      <c r="AH63" s="54"/>
      <c r="AI63" s="54"/>
      <c r="AJ63" s="54"/>
      <c r="AK63" s="54"/>
      <c r="AL63" s="54"/>
      <c r="AM63" s="54" t="b">
        <v>0</v>
      </c>
      <c r="AN63" s="54"/>
      <c r="AO63" s="54"/>
      <c r="AP63" s="54"/>
      <c r="AQ63" s="54"/>
      <c r="AR63" s="54"/>
      <c r="AS63" s="54" t="b">
        <v>0</v>
      </c>
      <c r="AT63" s="54"/>
      <c r="AU63" s="54"/>
      <c r="AV63" s="54"/>
      <c r="AW63" s="54"/>
      <c r="AX63" s="54" t="str">
        <f t="shared" si="14"/>
        <v>ملتزم</v>
      </c>
      <c r="AY63" s="54" t="s">
        <v>69</v>
      </c>
      <c r="AZ63" s="43" t="s">
        <v>70</v>
      </c>
      <c r="BA63" s="55" t="s">
        <v>176</v>
      </c>
      <c r="BB63" s="55"/>
      <c r="BC63" s="55"/>
      <c r="BD63" s="54"/>
      <c r="BE63" s="54"/>
      <c r="BF63" s="54"/>
      <c r="BG63" s="54"/>
      <c r="BH63" s="54"/>
      <c r="BI63" s="54" t="s">
        <v>72</v>
      </c>
      <c r="BJ63" s="54">
        <f>(U63+V63+AE63)-BD63-BE63</f>
        <v>42777</v>
      </c>
      <c r="BK63" s="54"/>
    </row>
    <row r="64" spans="1:63" ht="34.5" hidden="1" customHeight="1" x14ac:dyDescent="0.25">
      <c r="A64" s="35">
        <f t="shared" si="26"/>
        <v>21</v>
      </c>
      <c r="B64" s="35" t="s">
        <v>175</v>
      </c>
      <c r="C64" s="35">
        <v>20357890151</v>
      </c>
      <c r="D64" s="37" t="s">
        <v>106</v>
      </c>
      <c r="E64" s="37" t="b">
        <v>0</v>
      </c>
      <c r="F64" s="37"/>
      <c r="G64" s="65">
        <v>46022</v>
      </c>
      <c r="H64" s="35">
        <v>1</v>
      </c>
      <c r="I64" s="35">
        <v>139</v>
      </c>
      <c r="J64" s="95" t="s">
        <v>174</v>
      </c>
      <c r="K64" s="81">
        <v>7011187445</v>
      </c>
      <c r="L64" s="81">
        <v>555543476</v>
      </c>
      <c r="M64" s="81">
        <v>1008603555</v>
      </c>
      <c r="N64" s="35" t="s">
        <v>64</v>
      </c>
      <c r="O64" s="42" t="s">
        <v>84</v>
      </c>
      <c r="P64" s="35">
        <v>8</v>
      </c>
      <c r="Q64" s="35">
        <v>8.5</v>
      </c>
      <c r="R64" s="35">
        <f t="shared" si="29"/>
        <v>68</v>
      </c>
      <c r="S64" s="43">
        <v>30000</v>
      </c>
      <c r="T64" s="44">
        <f t="shared" ref="T64:T65" si="31">S64*10/100</f>
        <v>3000</v>
      </c>
      <c r="U64" s="63">
        <f t="shared" ref="U64:U65" si="32">S64+T64</f>
        <v>33000</v>
      </c>
      <c r="V64" s="46">
        <v>35500</v>
      </c>
      <c r="W64" s="46"/>
      <c r="X64" s="51">
        <v>0</v>
      </c>
      <c r="Y64" s="48">
        <f t="shared" si="12"/>
        <v>0</v>
      </c>
      <c r="Z64" s="49">
        <v>0</v>
      </c>
      <c r="AA64" s="50">
        <f t="shared" si="30"/>
        <v>0</v>
      </c>
      <c r="AB64" s="50"/>
      <c r="AC64" s="51">
        <v>34500</v>
      </c>
      <c r="AD64" s="52">
        <f>S64*1.15-AC64</f>
        <v>0</v>
      </c>
      <c r="AE64" s="53">
        <f>S64*1.15+X64-AB64-AC64</f>
        <v>0</v>
      </c>
      <c r="AF64" s="52" t="b">
        <v>0</v>
      </c>
      <c r="AG64" s="52"/>
      <c r="AH64" s="52"/>
      <c r="AI64" s="52"/>
      <c r="AJ64" s="52"/>
      <c r="AK64" s="52"/>
      <c r="AL64" s="52"/>
      <c r="AM64" s="52" t="b">
        <v>0</v>
      </c>
      <c r="AN64" s="52"/>
      <c r="AO64" s="52"/>
      <c r="AP64" s="52"/>
      <c r="AQ64" s="52"/>
      <c r="AR64" s="52"/>
      <c r="AS64" s="52" t="b">
        <v>0</v>
      </c>
      <c r="AT64" s="52"/>
      <c r="AU64" s="52"/>
      <c r="AV64" s="52"/>
      <c r="AW64" s="52"/>
      <c r="AX64" s="52" t="str">
        <f t="shared" si="14"/>
        <v>ملتزم</v>
      </c>
      <c r="AY64" s="54" t="s">
        <v>69</v>
      </c>
      <c r="AZ64" s="43" t="s">
        <v>107</v>
      </c>
      <c r="BA64" s="70"/>
      <c r="BB64" s="70"/>
      <c r="BC64" s="70"/>
      <c r="BD64" s="54"/>
      <c r="BE64" s="54"/>
      <c r="BF64" s="54"/>
      <c r="BG64" s="54"/>
      <c r="BH64" s="54"/>
      <c r="BI64" s="54" t="s">
        <v>72</v>
      </c>
      <c r="BJ64" s="54">
        <f>(U64+V64+AE64)-BD64-BE64</f>
        <v>68500</v>
      </c>
      <c r="BK64" s="54"/>
    </row>
    <row r="65" spans="1:63" ht="34.5" hidden="1" customHeight="1" x14ac:dyDescent="0.25">
      <c r="A65" s="35">
        <f t="shared" si="26"/>
        <v>22</v>
      </c>
      <c r="B65" s="35" t="s">
        <v>177</v>
      </c>
      <c r="C65" s="35">
        <v>20074768815</v>
      </c>
      <c r="D65" s="37" t="s">
        <v>100</v>
      </c>
      <c r="E65" s="37" t="b">
        <v>0</v>
      </c>
      <c r="F65" s="37"/>
      <c r="G65" s="65">
        <v>45657</v>
      </c>
      <c r="H65" s="35">
        <v>1</v>
      </c>
      <c r="I65" s="35">
        <v>160</v>
      </c>
      <c r="J65" s="95">
        <v>28491</v>
      </c>
      <c r="K65" s="81">
        <v>7014699339</v>
      </c>
      <c r="L65" s="81">
        <v>552841849</v>
      </c>
      <c r="M65" s="81">
        <v>2055869917</v>
      </c>
      <c r="N65" s="35" t="s">
        <v>64</v>
      </c>
      <c r="O65" s="42" t="s">
        <v>84</v>
      </c>
      <c r="P65" s="35">
        <v>9.8000000000000007</v>
      </c>
      <c r="Q65" s="35">
        <v>9.8000000000000007</v>
      </c>
      <c r="R65" s="35">
        <f t="shared" si="29"/>
        <v>96.04000000000002</v>
      </c>
      <c r="S65" s="43">
        <v>26000</v>
      </c>
      <c r="T65" s="44">
        <f t="shared" si="31"/>
        <v>2600</v>
      </c>
      <c r="U65" s="63">
        <f t="shared" si="32"/>
        <v>28600</v>
      </c>
      <c r="V65" s="46">
        <v>48020</v>
      </c>
      <c r="W65" s="46"/>
      <c r="X65" s="52"/>
      <c r="Y65" s="48">
        <f t="shared" si="12"/>
        <v>0</v>
      </c>
      <c r="Z65" s="69">
        <v>0</v>
      </c>
      <c r="AA65" s="50">
        <f t="shared" si="30"/>
        <v>0</v>
      </c>
      <c r="AB65" s="50"/>
      <c r="AC65" s="52">
        <v>29900</v>
      </c>
      <c r="AD65" s="52">
        <f>S65*1.15-AC65</f>
        <v>0</v>
      </c>
      <c r="AE65" s="53">
        <f>S65*1.15+X65-AB65-AC65</f>
        <v>0</v>
      </c>
      <c r="AF65" s="52" t="b">
        <v>1</v>
      </c>
      <c r="AG65" s="52" t="s">
        <v>67</v>
      </c>
      <c r="AH65" s="52">
        <v>55430</v>
      </c>
      <c r="AI65" s="54" t="s">
        <v>68</v>
      </c>
      <c r="AJ65" s="52" t="s">
        <v>136</v>
      </c>
      <c r="AK65" s="116" t="s">
        <v>178</v>
      </c>
      <c r="AL65" s="116"/>
      <c r="AM65" s="52" t="b">
        <v>0</v>
      </c>
      <c r="AN65" s="117">
        <v>45971</v>
      </c>
      <c r="AO65" s="52">
        <v>55430</v>
      </c>
      <c r="AP65" s="52"/>
      <c r="AQ65" s="52"/>
      <c r="AR65" s="52"/>
      <c r="AS65" s="52" t="b">
        <v>0</v>
      </c>
      <c r="AT65" s="118"/>
      <c r="AU65" s="52"/>
      <c r="AV65" s="52"/>
      <c r="AW65" s="52"/>
      <c r="AX65" s="52" t="str">
        <f t="shared" si="14"/>
        <v>ملتزم</v>
      </c>
      <c r="AY65" s="54" t="s">
        <v>77</v>
      </c>
      <c r="AZ65" s="43"/>
      <c r="BA65" s="70" t="s">
        <v>179</v>
      </c>
      <c r="BB65" s="70"/>
      <c r="BC65" s="70"/>
      <c r="BD65" s="54"/>
      <c r="BE65" s="54"/>
      <c r="BF65" s="54"/>
      <c r="BG65" s="54"/>
      <c r="BH65" s="54"/>
      <c r="BI65" s="54" t="s">
        <v>72</v>
      </c>
      <c r="BJ65" s="54">
        <f>(U65+V65+AE65)-BD65-BE65</f>
        <v>76620</v>
      </c>
      <c r="BK65" s="54"/>
    </row>
    <row r="66" spans="1:63" ht="34.5" hidden="1" customHeight="1" x14ac:dyDescent="0.25">
      <c r="A66" s="35">
        <f t="shared" si="26"/>
        <v>23</v>
      </c>
      <c r="B66" s="35" t="s">
        <v>177</v>
      </c>
      <c r="C66" s="35"/>
      <c r="D66" s="122" t="s">
        <v>134</v>
      </c>
      <c r="E66" s="122" t="b">
        <v>1</v>
      </c>
      <c r="F66" s="123">
        <v>45879</v>
      </c>
      <c r="G66" s="65"/>
      <c r="H66" s="35">
        <v>1</v>
      </c>
      <c r="I66" s="35">
        <v>169</v>
      </c>
      <c r="J66" s="93">
        <v>28491</v>
      </c>
      <c r="K66" s="86">
        <v>7014699339</v>
      </c>
      <c r="L66" s="87">
        <v>552841849</v>
      </c>
      <c r="M66" s="81">
        <v>2055869917</v>
      </c>
      <c r="N66" s="35" t="s">
        <v>64</v>
      </c>
      <c r="O66" s="42" t="s">
        <v>84</v>
      </c>
      <c r="P66" s="35">
        <v>12.4</v>
      </c>
      <c r="Q66" s="35">
        <v>10.1</v>
      </c>
      <c r="R66" s="35">
        <f t="shared" si="29"/>
        <v>125.24</v>
      </c>
      <c r="S66" s="43">
        <v>21000</v>
      </c>
      <c r="T66" s="44"/>
      <c r="U66" s="45"/>
      <c r="V66" s="46">
        <v>65751</v>
      </c>
      <c r="W66" s="46"/>
      <c r="X66" s="54"/>
      <c r="Y66" s="89">
        <f t="shared" si="12"/>
        <v>0</v>
      </c>
      <c r="Z66" s="96">
        <v>0</v>
      </c>
      <c r="AA66" s="91">
        <f t="shared" si="30"/>
        <v>0</v>
      </c>
      <c r="AB66" s="91"/>
      <c r="AC66" s="54">
        <v>24150</v>
      </c>
      <c r="AD66" s="54">
        <f>S66*1.15-AC66</f>
        <v>0</v>
      </c>
      <c r="AE66" s="53">
        <f>S66*1.15+X66-AB66-AC66</f>
        <v>0</v>
      </c>
      <c r="AF66" s="54" t="b">
        <v>1</v>
      </c>
      <c r="AG66" s="54" t="s">
        <v>67</v>
      </c>
      <c r="AH66" s="54">
        <v>75612.5</v>
      </c>
      <c r="AI66" s="54" t="s">
        <v>68</v>
      </c>
      <c r="AJ66" s="52" t="s">
        <v>136</v>
      </c>
      <c r="AK66" s="128" t="s">
        <v>180</v>
      </c>
      <c r="AL66" s="128"/>
      <c r="AM66" s="54" t="b">
        <v>0</v>
      </c>
      <c r="AN66" s="117">
        <v>45971</v>
      </c>
      <c r="AO66" s="54">
        <v>75612.5</v>
      </c>
      <c r="AP66" s="54"/>
      <c r="AQ66" s="54"/>
      <c r="AR66" s="54"/>
      <c r="AS66" s="54" t="b">
        <v>0</v>
      </c>
      <c r="AT66" s="118"/>
      <c r="AU66" s="54"/>
      <c r="AV66" s="54"/>
      <c r="AW66" s="54"/>
      <c r="AX66" s="54" t="str">
        <f t="shared" si="14"/>
        <v>ملتزم</v>
      </c>
      <c r="AY66" s="54" t="s">
        <v>69</v>
      </c>
      <c r="AZ66" s="43"/>
      <c r="BA66" s="55"/>
      <c r="BB66" s="55"/>
      <c r="BC66" s="55"/>
      <c r="BD66" s="54"/>
      <c r="BE66" s="54"/>
      <c r="BF66" s="54"/>
      <c r="BG66" s="54"/>
      <c r="BH66" s="54"/>
      <c r="BI66" s="54" t="s">
        <v>76</v>
      </c>
      <c r="BJ66" s="54">
        <f>(U66+V66+AE66)-BD66-BE66</f>
        <v>65751</v>
      </c>
      <c r="BK66" s="54"/>
    </row>
    <row r="67" spans="1:63" ht="34.5" hidden="1" customHeight="1" x14ac:dyDescent="0.25">
      <c r="A67" s="35">
        <f t="shared" si="26"/>
        <v>24</v>
      </c>
      <c r="B67" s="35" t="s">
        <v>177</v>
      </c>
      <c r="C67" s="35">
        <v>20668312808</v>
      </c>
      <c r="D67" s="37" t="s">
        <v>100</v>
      </c>
      <c r="E67" s="37" t="b">
        <v>0</v>
      </c>
      <c r="F67" s="37"/>
      <c r="G67" s="65">
        <v>45657</v>
      </c>
      <c r="H67" s="35">
        <v>2</v>
      </c>
      <c r="I67" s="35" t="s">
        <v>181</v>
      </c>
      <c r="J67" s="95">
        <v>31778</v>
      </c>
      <c r="K67" s="81">
        <v>7014699339</v>
      </c>
      <c r="L67" s="81">
        <v>552841849</v>
      </c>
      <c r="M67" s="81">
        <v>2055869917</v>
      </c>
      <c r="N67" s="35" t="s">
        <v>64</v>
      </c>
      <c r="O67" s="42" t="s">
        <v>84</v>
      </c>
      <c r="P67" s="35">
        <v>12.8</v>
      </c>
      <c r="Q67" s="35">
        <v>8</v>
      </c>
      <c r="R67" s="35">
        <f t="shared" si="29"/>
        <v>102.4</v>
      </c>
      <c r="S67" s="43">
        <v>35000</v>
      </c>
      <c r="T67" s="44">
        <f t="shared" ref="T67:T68" si="33">S67*10/100</f>
        <v>3500</v>
      </c>
      <c r="U67" s="63">
        <f t="shared" ref="U67:U68" si="34">S67+T67</f>
        <v>38500</v>
      </c>
      <c r="V67" s="46">
        <v>51200</v>
      </c>
      <c r="W67" s="46"/>
      <c r="X67" s="52">
        <v>43121</v>
      </c>
      <c r="Y67" s="48">
        <f t="shared" si="12"/>
        <v>37496.52173913044</v>
      </c>
      <c r="Z67" s="69">
        <v>0</v>
      </c>
      <c r="AA67" s="50">
        <f t="shared" si="30"/>
        <v>0</v>
      </c>
      <c r="AB67" s="50">
        <v>43121</v>
      </c>
      <c r="AC67" s="52">
        <v>40250</v>
      </c>
      <c r="AD67" s="52">
        <f>S67*1.15-AC67</f>
        <v>0</v>
      </c>
      <c r="AE67" s="53">
        <f>S67*1.15+X67-AB67-AC67</f>
        <v>0</v>
      </c>
      <c r="AF67" s="52" t="b">
        <v>1</v>
      </c>
      <c r="AG67" s="52" t="s">
        <v>67</v>
      </c>
      <c r="AH67" s="52">
        <v>58880</v>
      </c>
      <c r="AI67" s="54" t="s">
        <v>68</v>
      </c>
      <c r="AJ67" s="52" t="s">
        <v>136</v>
      </c>
      <c r="AK67" s="116" t="s">
        <v>180</v>
      </c>
      <c r="AL67" s="116"/>
      <c r="AM67" s="52" t="b">
        <v>0</v>
      </c>
      <c r="AN67" s="117">
        <v>45971</v>
      </c>
      <c r="AO67" s="52">
        <v>58880</v>
      </c>
      <c r="AP67" s="52"/>
      <c r="AQ67" s="52"/>
      <c r="AR67" s="52"/>
      <c r="AS67" s="52" t="b">
        <v>0</v>
      </c>
      <c r="AT67" s="118"/>
      <c r="AU67" s="52"/>
      <c r="AV67" s="52"/>
      <c r="AW67" s="52"/>
      <c r="AX67" s="52" t="str">
        <f t="shared" si="14"/>
        <v>ملتزم</v>
      </c>
      <c r="AY67" s="54" t="s">
        <v>85</v>
      </c>
      <c r="AZ67" s="43"/>
      <c r="BA67" s="55" t="s">
        <v>75</v>
      </c>
      <c r="BB67" s="55"/>
      <c r="BC67" s="55"/>
      <c r="BD67" s="54"/>
      <c r="BE67" s="54"/>
      <c r="BF67" s="54"/>
      <c r="BG67" s="54"/>
      <c r="BH67" s="54"/>
      <c r="BI67" s="54" t="s">
        <v>72</v>
      </c>
      <c r="BJ67" s="54">
        <f>(U67+V67+AE67)-BD67-BE67</f>
        <v>89700</v>
      </c>
      <c r="BK67" s="54"/>
    </row>
    <row r="68" spans="1:63" ht="34.5" hidden="1" customHeight="1" x14ac:dyDescent="0.25">
      <c r="A68" s="35">
        <f t="shared" si="26"/>
        <v>25</v>
      </c>
      <c r="B68" s="35" t="s">
        <v>177</v>
      </c>
      <c r="C68" s="35">
        <v>20863837203</v>
      </c>
      <c r="D68" s="37" t="s">
        <v>106</v>
      </c>
      <c r="E68" s="37" t="b">
        <v>0</v>
      </c>
      <c r="F68" s="37"/>
      <c r="G68" s="65">
        <v>46022</v>
      </c>
      <c r="H68" s="35">
        <v>1</v>
      </c>
      <c r="I68" s="35">
        <v>143</v>
      </c>
      <c r="J68" s="95">
        <v>28491</v>
      </c>
      <c r="K68" s="81">
        <v>7014699339</v>
      </c>
      <c r="L68" s="81">
        <v>552841849</v>
      </c>
      <c r="M68" s="81">
        <v>2055869917</v>
      </c>
      <c r="N68" s="35" t="s">
        <v>64</v>
      </c>
      <c r="O68" s="42" t="s">
        <v>84</v>
      </c>
      <c r="P68" s="35">
        <v>9.4</v>
      </c>
      <c r="Q68" s="35">
        <v>8.1</v>
      </c>
      <c r="R68" s="35">
        <f t="shared" si="29"/>
        <v>76.14</v>
      </c>
      <c r="S68" s="43">
        <v>30000</v>
      </c>
      <c r="T68" s="44">
        <f t="shared" si="33"/>
        <v>3000</v>
      </c>
      <c r="U68" s="63">
        <f t="shared" si="34"/>
        <v>33000</v>
      </c>
      <c r="V68" s="129">
        <v>37500</v>
      </c>
      <c r="W68" s="129"/>
      <c r="X68" s="51"/>
      <c r="Y68" s="48">
        <f t="shared" si="12"/>
        <v>0</v>
      </c>
      <c r="Z68" s="49">
        <v>0</v>
      </c>
      <c r="AA68" s="50">
        <f t="shared" si="30"/>
        <v>0</v>
      </c>
      <c r="AB68" s="50"/>
      <c r="AC68" s="51">
        <v>34500</v>
      </c>
      <c r="AD68" s="52">
        <f>S68*1.15-AC68</f>
        <v>0</v>
      </c>
      <c r="AE68" s="53">
        <f>S68*1.15+X68-AB68-AC68</f>
        <v>0</v>
      </c>
      <c r="AF68" s="52" t="b">
        <v>0</v>
      </c>
      <c r="AG68" s="52"/>
      <c r="AH68" s="52"/>
      <c r="AI68" s="52"/>
      <c r="AJ68" s="52"/>
      <c r="AK68" s="52"/>
      <c r="AL68" s="52"/>
      <c r="AM68" s="52" t="b">
        <v>0</v>
      </c>
      <c r="AN68" s="52"/>
      <c r="AO68" s="52"/>
      <c r="AP68" s="52"/>
      <c r="AQ68" s="52"/>
      <c r="AR68" s="52"/>
      <c r="AS68" s="52" t="b">
        <v>0</v>
      </c>
      <c r="AT68" s="52"/>
      <c r="AU68" s="52"/>
      <c r="AV68" s="52"/>
      <c r="AW68" s="52"/>
      <c r="AX68" s="52" t="str">
        <f t="shared" si="14"/>
        <v>ملتزم</v>
      </c>
      <c r="AY68" s="54" t="s">
        <v>83</v>
      </c>
      <c r="AZ68" s="43" t="s">
        <v>107</v>
      </c>
      <c r="BA68" s="70"/>
      <c r="BB68" s="70"/>
      <c r="BC68" s="70"/>
      <c r="BD68" s="54"/>
      <c r="BE68" s="54"/>
      <c r="BF68" s="54"/>
      <c r="BG68" s="54"/>
      <c r="BH68" s="54"/>
      <c r="BI68" s="54" t="s">
        <v>72</v>
      </c>
      <c r="BJ68" s="54">
        <f>(U68+V68+AE68)-BD68-BE68</f>
        <v>70500</v>
      </c>
      <c r="BK68" s="54"/>
    </row>
    <row r="69" spans="1:63" ht="34.5" hidden="1" customHeight="1" x14ac:dyDescent="0.25">
      <c r="A69" s="35">
        <f t="shared" si="26"/>
        <v>26</v>
      </c>
      <c r="B69" s="35" t="s">
        <v>177</v>
      </c>
      <c r="C69" s="35">
        <v>20859808327</v>
      </c>
      <c r="D69" s="37" t="s">
        <v>106</v>
      </c>
      <c r="E69" s="37" t="b">
        <v>0</v>
      </c>
      <c r="F69" s="37"/>
      <c r="G69" s="65">
        <v>46022</v>
      </c>
      <c r="H69" s="35">
        <v>1</v>
      </c>
      <c r="I69" s="35">
        <v>165</v>
      </c>
      <c r="J69" s="130">
        <v>28491</v>
      </c>
      <c r="K69" s="87">
        <v>7014699339</v>
      </c>
      <c r="L69" s="87">
        <v>552841489</v>
      </c>
      <c r="M69" s="81">
        <v>2055869917</v>
      </c>
      <c r="N69" s="35" t="s">
        <v>64</v>
      </c>
      <c r="O69" s="42" t="s">
        <v>84</v>
      </c>
      <c r="P69" s="35">
        <v>6.4</v>
      </c>
      <c r="Q69" s="35">
        <v>4</v>
      </c>
      <c r="R69" s="35">
        <f t="shared" si="29"/>
        <v>25.6</v>
      </c>
      <c r="S69" s="43">
        <v>17000</v>
      </c>
      <c r="T69" s="44"/>
      <c r="U69" s="45"/>
      <c r="V69" s="46">
        <f>25000+200</f>
        <v>25200</v>
      </c>
      <c r="W69" s="46"/>
      <c r="X69" s="88"/>
      <c r="Y69" s="89">
        <f t="shared" si="12"/>
        <v>0</v>
      </c>
      <c r="Z69" s="90">
        <v>0</v>
      </c>
      <c r="AA69" s="91">
        <f t="shared" si="30"/>
        <v>0</v>
      </c>
      <c r="AB69" s="91"/>
      <c r="AC69" s="88">
        <v>19550</v>
      </c>
      <c r="AD69" s="54">
        <f>S69*1.15-AC69</f>
        <v>0</v>
      </c>
      <c r="AE69" s="53">
        <f>S69*1.15+X69-AB69-AC69</f>
        <v>0</v>
      </c>
      <c r="AF69" s="54" t="b">
        <v>0</v>
      </c>
      <c r="AG69" s="54"/>
      <c r="AH69" s="54"/>
      <c r="AI69" s="54"/>
      <c r="AJ69" s="54"/>
      <c r="AK69" s="54"/>
      <c r="AL69" s="54"/>
      <c r="AM69" s="54" t="b">
        <v>0</v>
      </c>
      <c r="AN69" s="54"/>
      <c r="AO69" s="54"/>
      <c r="AP69" s="54"/>
      <c r="AQ69" s="54"/>
      <c r="AR69" s="54"/>
      <c r="AS69" s="54" t="b">
        <v>0</v>
      </c>
      <c r="AT69" s="54"/>
      <c r="AU69" s="54"/>
      <c r="AV69" s="54"/>
      <c r="AW69" s="54"/>
      <c r="AX69" s="54" t="str">
        <f t="shared" si="14"/>
        <v>ملتزم</v>
      </c>
      <c r="AY69" s="54" t="s">
        <v>69</v>
      </c>
      <c r="AZ69" s="43" t="s">
        <v>107</v>
      </c>
      <c r="BA69" s="70"/>
      <c r="BB69" s="70"/>
      <c r="BC69" s="70"/>
      <c r="BD69" s="54" t="s">
        <v>0</v>
      </c>
      <c r="BE69" s="54"/>
      <c r="BF69" s="54"/>
      <c r="BG69" s="54"/>
      <c r="BH69" s="54"/>
      <c r="BI69" s="54" t="s">
        <v>76</v>
      </c>
      <c r="BJ69" s="54" t="e">
        <f>(U69+V69+AE69)-BD69-BE69</f>
        <v>#VALUE!</v>
      </c>
      <c r="BK69" s="54"/>
    </row>
    <row r="70" spans="1:63" ht="34.5" hidden="1" customHeight="1" x14ac:dyDescent="0.25">
      <c r="A70" s="35">
        <f t="shared" si="26"/>
        <v>27</v>
      </c>
      <c r="B70" s="35" t="s">
        <v>177</v>
      </c>
      <c r="C70" s="35">
        <v>20014235684</v>
      </c>
      <c r="D70" s="37" t="s">
        <v>106</v>
      </c>
      <c r="E70" s="37" t="b">
        <v>0</v>
      </c>
      <c r="F70" s="37"/>
      <c r="G70" s="65">
        <v>46022</v>
      </c>
      <c r="H70" s="35">
        <v>1</v>
      </c>
      <c r="I70" s="35">
        <v>166</v>
      </c>
      <c r="J70" s="110">
        <v>28491</v>
      </c>
      <c r="K70" s="87">
        <v>7014699339</v>
      </c>
      <c r="L70" s="87">
        <v>552841489</v>
      </c>
      <c r="M70" s="81">
        <v>2055869917</v>
      </c>
      <c r="N70" s="35" t="s">
        <v>64</v>
      </c>
      <c r="O70" s="42" t="s">
        <v>84</v>
      </c>
      <c r="P70" s="35">
        <v>6.6</v>
      </c>
      <c r="Q70" s="35">
        <v>4.2</v>
      </c>
      <c r="R70" s="35">
        <f t="shared" si="29"/>
        <v>27.72</v>
      </c>
      <c r="S70" s="43">
        <v>26000</v>
      </c>
      <c r="T70" s="44"/>
      <c r="U70" s="45"/>
      <c r="V70" s="46">
        <f t="shared" ref="V70:V71" si="35">28000+200</f>
        <v>28200</v>
      </c>
      <c r="W70" s="46"/>
      <c r="X70" s="88"/>
      <c r="Y70" s="89">
        <f t="shared" si="12"/>
        <v>0</v>
      </c>
      <c r="Z70" s="90">
        <v>0</v>
      </c>
      <c r="AA70" s="91">
        <f t="shared" si="30"/>
        <v>0</v>
      </c>
      <c r="AB70" s="91"/>
      <c r="AC70" s="88">
        <v>29900</v>
      </c>
      <c r="AD70" s="54">
        <f>S70*1.15-AC70</f>
        <v>0</v>
      </c>
      <c r="AE70" s="53">
        <f>S70*1.15+X70-AB70-AC70</f>
        <v>0</v>
      </c>
      <c r="AF70" s="54" t="b">
        <v>0</v>
      </c>
      <c r="AG70" s="54"/>
      <c r="AH70" s="54"/>
      <c r="AI70" s="54"/>
      <c r="AJ70" s="54"/>
      <c r="AK70" s="54"/>
      <c r="AL70" s="54"/>
      <c r="AM70" s="54" t="b">
        <v>0</v>
      </c>
      <c r="AN70" s="54"/>
      <c r="AO70" s="54"/>
      <c r="AP70" s="54"/>
      <c r="AQ70" s="54"/>
      <c r="AR70" s="54"/>
      <c r="AS70" s="54" t="b">
        <v>0</v>
      </c>
      <c r="AT70" s="54"/>
      <c r="AU70" s="54"/>
      <c r="AV70" s="54"/>
      <c r="AW70" s="54"/>
      <c r="AX70" s="54" t="str">
        <f t="shared" si="14"/>
        <v>ملتزم</v>
      </c>
      <c r="AY70" s="54" t="s">
        <v>69</v>
      </c>
      <c r="AZ70" s="43" t="s">
        <v>107</v>
      </c>
      <c r="BA70" s="70"/>
      <c r="BB70" s="70"/>
      <c r="BC70" s="70"/>
      <c r="BD70" s="54"/>
      <c r="BE70" s="54"/>
      <c r="BF70" s="54"/>
      <c r="BG70" s="54"/>
      <c r="BH70" s="54"/>
      <c r="BI70" s="54" t="s">
        <v>76</v>
      </c>
      <c r="BJ70" s="54">
        <f>(U70+V70+AE70)-BD70-BE70</f>
        <v>28200</v>
      </c>
      <c r="BK70" s="54"/>
    </row>
    <row r="71" spans="1:63" ht="34.5" hidden="1" customHeight="1" x14ac:dyDescent="0.25">
      <c r="A71" s="35">
        <f t="shared" si="26"/>
        <v>28</v>
      </c>
      <c r="B71" s="35" t="s">
        <v>177</v>
      </c>
      <c r="C71" s="35">
        <v>20573564176</v>
      </c>
      <c r="D71" s="37" t="s">
        <v>106</v>
      </c>
      <c r="E71" s="37" t="b">
        <v>0</v>
      </c>
      <c r="F71" s="37"/>
      <c r="G71" s="65">
        <v>46022</v>
      </c>
      <c r="H71" s="35">
        <v>1</v>
      </c>
      <c r="I71" s="35">
        <v>167</v>
      </c>
      <c r="J71" s="130">
        <v>28491</v>
      </c>
      <c r="K71" s="87">
        <v>7014699339</v>
      </c>
      <c r="L71" s="87">
        <v>552841489</v>
      </c>
      <c r="M71" s="81">
        <v>2055869917</v>
      </c>
      <c r="N71" s="35" t="s">
        <v>64</v>
      </c>
      <c r="O71" s="42" t="s">
        <v>84</v>
      </c>
      <c r="P71" s="35">
        <v>6.6</v>
      </c>
      <c r="Q71" s="35">
        <v>4.2</v>
      </c>
      <c r="R71" s="35">
        <f t="shared" si="29"/>
        <v>27.72</v>
      </c>
      <c r="S71" s="43">
        <v>26000</v>
      </c>
      <c r="T71" s="44"/>
      <c r="U71" s="45"/>
      <c r="V71" s="46">
        <f t="shared" si="35"/>
        <v>28200</v>
      </c>
      <c r="W71" s="46"/>
      <c r="X71" s="88"/>
      <c r="Y71" s="89">
        <f t="shared" si="12"/>
        <v>0</v>
      </c>
      <c r="Z71" s="90">
        <v>0</v>
      </c>
      <c r="AA71" s="91">
        <f t="shared" si="30"/>
        <v>0</v>
      </c>
      <c r="AB71" s="91"/>
      <c r="AC71" s="88">
        <v>29900</v>
      </c>
      <c r="AD71" s="54">
        <f>S71*1.15-AC71</f>
        <v>0</v>
      </c>
      <c r="AE71" s="53">
        <f>S71*1.15+X71-AB71-AC71</f>
        <v>0</v>
      </c>
      <c r="AF71" s="54" t="b">
        <v>0</v>
      </c>
      <c r="AG71" s="54"/>
      <c r="AH71" s="54"/>
      <c r="AI71" s="54"/>
      <c r="AJ71" s="54"/>
      <c r="AK71" s="54"/>
      <c r="AL71" s="54"/>
      <c r="AM71" s="54" t="b">
        <v>0</v>
      </c>
      <c r="AN71" s="54"/>
      <c r="AO71" s="54"/>
      <c r="AP71" s="54"/>
      <c r="AQ71" s="54"/>
      <c r="AR71" s="54"/>
      <c r="AS71" s="54" t="b">
        <v>0</v>
      </c>
      <c r="AT71" s="54"/>
      <c r="AU71" s="54"/>
      <c r="AV71" s="54"/>
      <c r="AW71" s="54"/>
      <c r="AX71" s="54" t="str">
        <f t="shared" si="14"/>
        <v>ملتزم</v>
      </c>
      <c r="AY71" s="54" t="s">
        <v>69</v>
      </c>
      <c r="AZ71" s="43" t="s">
        <v>107</v>
      </c>
      <c r="BA71" s="70"/>
      <c r="BB71" s="70"/>
      <c r="BC71" s="70"/>
      <c r="BD71" s="54"/>
      <c r="BE71" s="54"/>
      <c r="BF71" s="54"/>
      <c r="BG71" s="54"/>
      <c r="BH71" s="54"/>
      <c r="BI71" s="54" t="s">
        <v>76</v>
      </c>
      <c r="BJ71" s="54">
        <f>(U71+V71+AE71)-BD71-BE71</f>
        <v>28200</v>
      </c>
      <c r="BK71" s="54"/>
    </row>
    <row r="72" spans="1:63" ht="34.5" hidden="1" customHeight="1" x14ac:dyDescent="0.25">
      <c r="A72" s="35">
        <f t="shared" si="26"/>
        <v>29</v>
      </c>
      <c r="B72" s="35" t="s">
        <v>177</v>
      </c>
      <c r="C72" s="35">
        <v>20138545259</v>
      </c>
      <c r="D72" s="37" t="s">
        <v>106</v>
      </c>
      <c r="E72" s="37" t="b">
        <v>0</v>
      </c>
      <c r="F72" s="37"/>
      <c r="G72" s="65">
        <v>46022</v>
      </c>
      <c r="H72" s="35">
        <v>1</v>
      </c>
      <c r="I72" s="35">
        <v>168</v>
      </c>
      <c r="J72" s="130">
        <v>28491</v>
      </c>
      <c r="K72" s="87">
        <v>7014699339</v>
      </c>
      <c r="L72" s="87">
        <v>552841489</v>
      </c>
      <c r="M72" s="81">
        <v>2055869917</v>
      </c>
      <c r="N72" s="35" t="s">
        <v>64</v>
      </c>
      <c r="O72" s="42" t="s">
        <v>84</v>
      </c>
      <c r="P72" s="35">
        <v>6.6</v>
      </c>
      <c r="Q72" s="35">
        <v>4.2</v>
      </c>
      <c r="R72" s="131">
        <f t="shared" si="29"/>
        <v>27.72</v>
      </c>
      <c r="S72" s="43">
        <v>26000</v>
      </c>
      <c r="T72" s="44"/>
      <c r="U72" s="45"/>
      <c r="V72" s="46">
        <v>28200</v>
      </c>
      <c r="W72" s="46"/>
      <c r="X72" s="88"/>
      <c r="Y72" s="89">
        <f t="shared" si="12"/>
        <v>0</v>
      </c>
      <c r="Z72" s="90">
        <v>0</v>
      </c>
      <c r="AA72" s="91">
        <f t="shared" si="30"/>
        <v>0</v>
      </c>
      <c r="AB72" s="91"/>
      <c r="AC72" s="88">
        <v>29900</v>
      </c>
      <c r="AD72" s="54">
        <f>S72*1.15-AC72</f>
        <v>0</v>
      </c>
      <c r="AE72" s="53">
        <f>S72*1.15+X72-AB72-AC72</f>
        <v>0</v>
      </c>
      <c r="AF72" s="54" t="b">
        <v>0</v>
      </c>
      <c r="AG72" s="54"/>
      <c r="AH72" s="54"/>
      <c r="AI72" s="54"/>
      <c r="AJ72" s="54"/>
      <c r="AK72" s="54"/>
      <c r="AL72" s="54"/>
      <c r="AM72" s="54" t="b">
        <v>0</v>
      </c>
      <c r="AN72" s="54"/>
      <c r="AO72" s="54"/>
      <c r="AP72" s="54"/>
      <c r="AQ72" s="54"/>
      <c r="AR72" s="54"/>
      <c r="AS72" s="54" t="b">
        <v>0</v>
      </c>
      <c r="AT72" s="54"/>
      <c r="AU72" s="54"/>
      <c r="AV72" s="54"/>
      <c r="AW72" s="54"/>
      <c r="AX72" s="54" t="str">
        <f t="shared" si="14"/>
        <v>ملتزم</v>
      </c>
      <c r="AY72" s="54" t="s">
        <v>69</v>
      </c>
      <c r="AZ72" s="43" t="s">
        <v>107</v>
      </c>
      <c r="BA72" s="70"/>
      <c r="BB72" s="70"/>
      <c r="BC72" s="70"/>
      <c r="BD72" s="54"/>
      <c r="BE72" s="54"/>
      <c r="BF72" s="54"/>
      <c r="BG72" s="54"/>
      <c r="BH72" s="54"/>
      <c r="BI72" s="54" t="s">
        <v>76</v>
      </c>
      <c r="BJ72" s="54">
        <f>(U72+V72+AE72)-BD72-BE72</f>
        <v>28200</v>
      </c>
      <c r="BK72" s="54"/>
    </row>
    <row r="73" spans="1:63" ht="34.5" hidden="1" customHeight="1" x14ac:dyDescent="0.25">
      <c r="A73" s="35">
        <f t="shared" si="26"/>
        <v>30</v>
      </c>
      <c r="B73" s="35" t="s">
        <v>182</v>
      </c>
      <c r="C73" s="105">
        <v>20489344438</v>
      </c>
      <c r="D73" s="37" t="s">
        <v>106</v>
      </c>
      <c r="E73" s="37" t="b">
        <v>0</v>
      </c>
      <c r="F73" s="37"/>
      <c r="G73" s="65">
        <v>46022</v>
      </c>
      <c r="H73" s="35">
        <v>1</v>
      </c>
      <c r="I73" s="35">
        <v>336</v>
      </c>
      <c r="J73" s="95" t="s">
        <v>183</v>
      </c>
      <c r="K73" s="81">
        <v>7011048589</v>
      </c>
      <c r="L73" s="81">
        <v>500867920</v>
      </c>
      <c r="M73" s="81">
        <v>1096051196</v>
      </c>
      <c r="N73" s="35" t="s">
        <v>73</v>
      </c>
      <c r="O73" s="35" t="s">
        <v>97</v>
      </c>
      <c r="P73" s="35">
        <v>5</v>
      </c>
      <c r="Q73" s="35">
        <v>4</v>
      </c>
      <c r="R73" s="35">
        <f t="shared" si="29"/>
        <v>20</v>
      </c>
      <c r="S73" s="44">
        <v>30000</v>
      </c>
      <c r="T73" s="44">
        <f t="shared" ref="T73:T75" si="36">S73*10/100</f>
        <v>3000</v>
      </c>
      <c r="U73" s="63">
        <f t="shared" ref="U73:U75" si="37">S73+T73</f>
        <v>33000</v>
      </c>
      <c r="V73" s="106"/>
      <c r="W73" s="106"/>
      <c r="X73" s="52">
        <v>0</v>
      </c>
      <c r="Y73" s="48">
        <f t="shared" si="12"/>
        <v>0</v>
      </c>
      <c r="Z73" s="50">
        <v>0</v>
      </c>
      <c r="AA73" s="50">
        <f t="shared" si="30"/>
        <v>0</v>
      </c>
      <c r="AB73" s="50"/>
      <c r="AC73" s="52">
        <v>34500</v>
      </c>
      <c r="AD73" s="52">
        <f>S73*1.15-AC73</f>
        <v>0</v>
      </c>
      <c r="AE73" s="53">
        <f>S73*1.15+X73-AB73-AC73</f>
        <v>0</v>
      </c>
      <c r="AF73" s="52" t="b">
        <v>0</v>
      </c>
      <c r="AG73" s="52"/>
      <c r="AH73" s="52"/>
      <c r="AI73" s="52"/>
      <c r="AJ73" s="52"/>
      <c r="AK73" s="52"/>
      <c r="AL73" s="52"/>
      <c r="AM73" s="52" t="b">
        <v>0</v>
      </c>
      <c r="AN73" s="52"/>
      <c r="AO73" s="52"/>
      <c r="AP73" s="52"/>
      <c r="AQ73" s="52"/>
      <c r="AR73" s="52"/>
      <c r="AS73" s="52" t="b">
        <v>0</v>
      </c>
      <c r="AT73" s="52"/>
      <c r="AU73" s="52"/>
      <c r="AV73" s="52"/>
      <c r="AW73" s="52"/>
      <c r="AX73" s="52" t="str">
        <f t="shared" si="14"/>
        <v>ملتزم</v>
      </c>
      <c r="AY73" s="54" t="s">
        <v>69</v>
      </c>
      <c r="AZ73" s="43" t="s">
        <v>107</v>
      </c>
      <c r="BA73" s="55"/>
      <c r="BB73" s="55"/>
      <c r="BC73" s="55"/>
      <c r="BD73" s="54"/>
      <c r="BE73" s="68">
        <v>28462.5</v>
      </c>
      <c r="BF73" s="54"/>
      <c r="BG73" s="54"/>
      <c r="BH73" s="54"/>
      <c r="BI73" s="54" t="s">
        <v>76</v>
      </c>
      <c r="BJ73" s="54">
        <f>(U73+V73+AE73)-BD73-BE73</f>
        <v>4537.5</v>
      </c>
      <c r="BK73" s="54" t="s">
        <v>113</v>
      </c>
    </row>
    <row r="74" spans="1:63" ht="34.5" hidden="1" customHeight="1" x14ac:dyDescent="0.25">
      <c r="A74" s="35">
        <f t="shared" si="26"/>
        <v>31</v>
      </c>
      <c r="B74" s="57" t="s">
        <v>184</v>
      </c>
      <c r="C74" s="57"/>
      <c r="D74" s="37" t="s">
        <v>106</v>
      </c>
      <c r="E74" s="37" t="b">
        <v>0</v>
      </c>
      <c r="F74" s="37"/>
      <c r="G74" s="65">
        <v>46022</v>
      </c>
      <c r="H74" s="42">
        <v>1</v>
      </c>
      <c r="I74" s="42">
        <v>56</v>
      </c>
      <c r="J74" s="59" t="s">
        <v>183</v>
      </c>
      <c r="K74" s="61">
        <v>7011048589</v>
      </c>
      <c r="L74" s="61">
        <v>500867920</v>
      </c>
      <c r="M74" s="61">
        <v>1096051196</v>
      </c>
      <c r="N74" s="35" t="s">
        <v>73</v>
      </c>
      <c r="O74" s="42" t="s">
        <v>74</v>
      </c>
      <c r="P74" s="35"/>
      <c r="Q74" s="35"/>
      <c r="R74" s="35">
        <v>93</v>
      </c>
      <c r="S74" s="62">
        <v>30000</v>
      </c>
      <c r="T74" s="44">
        <f t="shared" si="36"/>
        <v>3000</v>
      </c>
      <c r="U74" s="63">
        <f t="shared" si="37"/>
        <v>33000</v>
      </c>
      <c r="V74" s="64"/>
      <c r="W74" s="64"/>
      <c r="X74" s="52">
        <v>0</v>
      </c>
      <c r="Y74" s="48">
        <v>0</v>
      </c>
      <c r="Z74" s="69">
        <v>0</v>
      </c>
      <c r="AA74" s="50">
        <f t="shared" si="30"/>
        <v>0</v>
      </c>
      <c r="AB74" s="50"/>
      <c r="AC74" s="52">
        <v>34500</v>
      </c>
      <c r="AD74" s="52">
        <f>S74*1.15-AC74</f>
        <v>0</v>
      </c>
      <c r="AE74" s="53">
        <f>S74*1.15+X74-AB74-AC74</f>
        <v>0</v>
      </c>
      <c r="AF74" s="52" t="b">
        <v>0</v>
      </c>
      <c r="AG74" s="52"/>
      <c r="AH74" s="52"/>
      <c r="AI74" s="52"/>
      <c r="AJ74" s="52"/>
      <c r="AK74" s="52"/>
      <c r="AL74" s="52"/>
      <c r="AM74" s="52" t="b">
        <v>0</v>
      </c>
      <c r="AN74" s="52"/>
      <c r="AO74" s="52"/>
      <c r="AP74" s="52"/>
      <c r="AQ74" s="52"/>
      <c r="AR74" s="52"/>
      <c r="AS74" s="52" t="b">
        <v>0</v>
      </c>
      <c r="AT74" s="52"/>
      <c r="AU74" s="52"/>
      <c r="AV74" s="52"/>
      <c r="AW74" s="52"/>
      <c r="AX74" s="52" t="str">
        <f t="shared" si="14"/>
        <v>ملتزم</v>
      </c>
      <c r="AY74" s="54" t="s">
        <v>77</v>
      </c>
      <c r="AZ74" s="43" t="s">
        <v>107</v>
      </c>
      <c r="BA74" s="70">
        <f>500*R74</f>
        <v>46500</v>
      </c>
      <c r="BB74" s="70"/>
      <c r="BC74" s="70"/>
      <c r="BD74" s="54"/>
      <c r="BE74" s="68">
        <v>18974</v>
      </c>
      <c r="BF74" s="54"/>
      <c r="BG74" s="54"/>
      <c r="BH74" s="54"/>
      <c r="BI74" s="54" t="s">
        <v>76</v>
      </c>
      <c r="BJ74" s="54">
        <f>(U74+V74+AE74)-BD74-BE74</f>
        <v>14026</v>
      </c>
      <c r="BK74" s="54" t="s">
        <v>113</v>
      </c>
    </row>
    <row r="75" spans="1:63" ht="34.5" hidden="1" customHeight="1" x14ac:dyDescent="0.25">
      <c r="A75" s="35">
        <f t="shared" si="26"/>
        <v>32</v>
      </c>
      <c r="B75" s="57" t="s">
        <v>184</v>
      </c>
      <c r="C75" s="57">
        <v>20953482487</v>
      </c>
      <c r="D75" s="37" t="s">
        <v>106</v>
      </c>
      <c r="E75" s="37" t="b">
        <v>0</v>
      </c>
      <c r="F75" s="37"/>
      <c r="G75" s="65">
        <v>46022</v>
      </c>
      <c r="H75" s="42">
        <v>1</v>
      </c>
      <c r="I75" s="42" t="s">
        <v>185</v>
      </c>
      <c r="J75" s="61"/>
      <c r="K75" s="60">
        <v>7011048589</v>
      </c>
      <c r="L75" s="60">
        <v>500867920</v>
      </c>
      <c r="M75" s="61">
        <v>1096051196</v>
      </c>
      <c r="N75" s="35" t="s">
        <v>73</v>
      </c>
      <c r="O75" s="42" t="s">
        <v>74</v>
      </c>
      <c r="P75" s="35"/>
      <c r="Q75" s="35"/>
      <c r="R75" s="35">
        <v>93</v>
      </c>
      <c r="S75" s="62">
        <v>30000</v>
      </c>
      <c r="T75" s="44">
        <f t="shared" si="36"/>
        <v>3000</v>
      </c>
      <c r="U75" s="63">
        <f t="shared" si="37"/>
        <v>33000</v>
      </c>
      <c r="V75" s="64"/>
      <c r="W75" s="64"/>
      <c r="X75" s="52"/>
      <c r="Y75" s="48">
        <f t="shared" ref="Y75:Y95" si="38">X75/1.15</f>
        <v>0</v>
      </c>
      <c r="Z75" s="69">
        <v>0</v>
      </c>
      <c r="AA75" s="50">
        <f t="shared" si="30"/>
        <v>0</v>
      </c>
      <c r="AB75" s="50"/>
      <c r="AC75" s="52">
        <v>34500</v>
      </c>
      <c r="AD75" s="52">
        <f>S75*1.15-AC75</f>
        <v>0</v>
      </c>
      <c r="AE75" s="53">
        <f>S75*1.15+X75-AB75-AC75</f>
        <v>0</v>
      </c>
      <c r="AF75" s="52" t="b">
        <v>0</v>
      </c>
      <c r="AG75" s="52"/>
      <c r="AH75" s="52"/>
      <c r="AI75" s="52"/>
      <c r="AJ75" s="52"/>
      <c r="AK75" s="52"/>
      <c r="AL75" s="52"/>
      <c r="AM75" s="52" t="b">
        <v>0</v>
      </c>
      <c r="AN75" s="52"/>
      <c r="AO75" s="52"/>
      <c r="AP75" s="52"/>
      <c r="AQ75" s="52"/>
      <c r="AR75" s="52"/>
      <c r="AS75" s="52" t="b">
        <v>0</v>
      </c>
      <c r="AT75" s="52"/>
      <c r="AU75" s="52"/>
      <c r="AV75" s="52"/>
      <c r="AW75" s="52"/>
      <c r="AX75" s="52" t="str">
        <f t="shared" si="14"/>
        <v>ملتزم</v>
      </c>
      <c r="AY75" s="54" t="s">
        <v>69</v>
      </c>
      <c r="AZ75" s="43" t="s">
        <v>107</v>
      </c>
      <c r="BA75" s="70">
        <f>450*R75</f>
        <v>41850</v>
      </c>
      <c r="BB75" s="70"/>
      <c r="BC75" s="70"/>
      <c r="BD75" s="54"/>
      <c r="BE75" s="68">
        <v>9487</v>
      </c>
      <c r="BF75" s="54"/>
      <c r="BG75" s="54"/>
      <c r="BH75" s="54"/>
      <c r="BI75" s="54" t="s">
        <v>76</v>
      </c>
      <c r="BJ75" s="54">
        <f>(U75+V75+AE75)-BD75-BE75</f>
        <v>23513</v>
      </c>
      <c r="BK75" s="54" t="s">
        <v>113</v>
      </c>
    </row>
    <row r="76" spans="1:63" ht="34.5" hidden="1" customHeight="1" x14ac:dyDescent="0.25">
      <c r="A76" s="35">
        <f t="shared" si="26"/>
        <v>33</v>
      </c>
      <c r="B76" s="35" t="s">
        <v>186</v>
      </c>
      <c r="C76" s="105">
        <v>20877290797</v>
      </c>
      <c r="D76" s="37" t="s">
        <v>106</v>
      </c>
      <c r="E76" s="37" t="b">
        <v>0</v>
      </c>
      <c r="F76" s="37"/>
      <c r="G76" s="113">
        <v>46022</v>
      </c>
      <c r="H76" s="35">
        <v>1</v>
      </c>
      <c r="I76" s="35">
        <v>209</v>
      </c>
      <c r="J76" s="110">
        <v>15893</v>
      </c>
      <c r="K76" s="114">
        <v>7012415415</v>
      </c>
      <c r="L76" s="114">
        <v>538361626</v>
      </c>
      <c r="M76" s="81">
        <v>2014968685</v>
      </c>
      <c r="N76" s="35" t="s">
        <v>73</v>
      </c>
      <c r="O76" s="35" t="s">
        <v>97</v>
      </c>
      <c r="P76" s="35">
        <v>3.75</v>
      </c>
      <c r="Q76" s="35">
        <v>4.1900000000000004</v>
      </c>
      <c r="R76" s="35">
        <f t="shared" ref="R76:R86" si="39">P76*Q76</f>
        <v>15.712500000000002</v>
      </c>
      <c r="S76" s="44">
        <v>30000</v>
      </c>
      <c r="T76" s="44">
        <f>S76*20/100</f>
        <v>6000</v>
      </c>
      <c r="U76" s="63">
        <f t="shared" ref="U76:U77" si="40">S76+T76+200</f>
        <v>36200</v>
      </c>
      <c r="V76" s="44"/>
      <c r="W76" s="44"/>
      <c r="X76" s="54">
        <v>0</v>
      </c>
      <c r="Y76" s="89">
        <f t="shared" si="38"/>
        <v>0</v>
      </c>
      <c r="Z76" s="91">
        <v>0</v>
      </c>
      <c r="AA76" s="91">
        <f t="shared" si="30"/>
        <v>0</v>
      </c>
      <c r="AB76" s="91"/>
      <c r="AC76" s="54">
        <v>34500</v>
      </c>
      <c r="AD76" s="54">
        <f>S76*1.15-AC76</f>
        <v>0</v>
      </c>
      <c r="AE76" s="53">
        <f>S76*1.15+X76-AB76-AC76</f>
        <v>0</v>
      </c>
      <c r="AF76" s="52" t="b">
        <v>1</v>
      </c>
      <c r="AG76" s="117">
        <v>45667</v>
      </c>
      <c r="AH76" s="52">
        <v>20814</v>
      </c>
      <c r="AI76" s="54" t="s">
        <v>68</v>
      </c>
      <c r="AJ76" s="52" t="s">
        <v>136</v>
      </c>
      <c r="AK76" s="116" t="s">
        <v>187</v>
      </c>
      <c r="AL76" s="116"/>
      <c r="AM76" s="52" t="b">
        <v>0</v>
      </c>
      <c r="AN76" s="117">
        <v>45971</v>
      </c>
      <c r="AO76" s="52">
        <v>20814</v>
      </c>
      <c r="AP76" s="52"/>
      <c r="AQ76" s="52"/>
      <c r="AR76" s="52"/>
      <c r="AS76" s="52" t="b">
        <v>0</v>
      </c>
      <c r="AT76" s="54"/>
      <c r="AU76" s="54"/>
      <c r="AV76" s="54"/>
      <c r="AW76" s="54"/>
      <c r="AX76" s="54" t="str">
        <f t="shared" si="14"/>
        <v>ملتزم</v>
      </c>
      <c r="AY76" s="54" t="s">
        <v>69</v>
      </c>
      <c r="AZ76" s="43" t="s">
        <v>107</v>
      </c>
      <c r="BA76" s="55"/>
      <c r="BB76" s="55"/>
      <c r="BC76" s="55"/>
      <c r="BD76" s="54"/>
      <c r="BE76" s="68">
        <v>20814</v>
      </c>
      <c r="BF76" s="54"/>
      <c r="BG76" s="54"/>
      <c r="BH76" s="54"/>
      <c r="BI76" s="54" t="s">
        <v>112</v>
      </c>
      <c r="BJ76" s="54">
        <f>(U76+V76+AE76)-BD76-BE76</f>
        <v>15386</v>
      </c>
      <c r="BK76" s="54" t="s">
        <v>188</v>
      </c>
    </row>
    <row r="77" spans="1:63" ht="34.5" hidden="1" customHeight="1" x14ac:dyDescent="0.25">
      <c r="A77" s="35">
        <f t="shared" si="26"/>
        <v>34</v>
      </c>
      <c r="B77" s="35" t="s">
        <v>186</v>
      </c>
      <c r="C77" s="105">
        <v>20595439452</v>
      </c>
      <c r="D77" s="37" t="s">
        <v>106</v>
      </c>
      <c r="E77" s="37" t="b">
        <v>0</v>
      </c>
      <c r="F77" s="37"/>
      <c r="G77" s="113">
        <v>46022</v>
      </c>
      <c r="H77" s="35">
        <v>2</v>
      </c>
      <c r="I77" s="35" t="s">
        <v>189</v>
      </c>
      <c r="J77" s="110">
        <v>15893</v>
      </c>
      <c r="K77" s="81">
        <v>7012415415</v>
      </c>
      <c r="L77" s="81">
        <v>538361626</v>
      </c>
      <c r="M77" s="81">
        <v>2014968685</v>
      </c>
      <c r="N77" s="35" t="s">
        <v>73</v>
      </c>
      <c r="O77" s="35" t="s">
        <v>97</v>
      </c>
      <c r="P77" s="35">
        <v>8.6</v>
      </c>
      <c r="Q77" s="35">
        <v>4</v>
      </c>
      <c r="R77" s="35">
        <f t="shared" si="39"/>
        <v>34.4</v>
      </c>
      <c r="S77" s="44">
        <v>60000</v>
      </c>
      <c r="T77" s="44">
        <f t="shared" ref="T77:T80" si="41">S77*10/100</f>
        <v>6000</v>
      </c>
      <c r="U77" s="63">
        <f t="shared" si="40"/>
        <v>66200</v>
      </c>
      <c r="V77" s="44"/>
      <c r="W77" s="44"/>
      <c r="X77" s="54">
        <v>0</v>
      </c>
      <c r="Y77" s="89">
        <f t="shared" si="38"/>
        <v>0</v>
      </c>
      <c r="Z77" s="91">
        <v>0</v>
      </c>
      <c r="AA77" s="91">
        <f t="shared" si="30"/>
        <v>0</v>
      </c>
      <c r="AB77" s="91">
        <v>0</v>
      </c>
      <c r="AC77" s="54">
        <v>69000</v>
      </c>
      <c r="AD77" s="54">
        <f>S77*1.15-AC77</f>
        <v>0</v>
      </c>
      <c r="AE77" s="53">
        <f>S77*1.15+X77-AB77-AC77</f>
        <v>0</v>
      </c>
      <c r="AF77" s="52" t="b">
        <v>1</v>
      </c>
      <c r="AG77" s="117">
        <v>45667</v>
      </c>
      <c r="AH77" s="52">
        <v>38066</v>
      </c>
      <c r="AI77" s="54" t="s">
        <v>68</v>
      </c>
      <c r="AJ77" s="52" t="s">
        <v>136</v>
      </c>
      <c r="AK77" s="116" t="s">
        <v>187</v>
      </c>
      <c r="AL77" s="116"/>
      <c r="AM77" s="52" t="b">
        <v>0</v>
      </c>
      <c r="AN77" s="117">
        <v>45971</v>
      </c>
      <c r="AO77" s="52">
        <v>38066</v>
      </c>
      <c r="AP77" s="52"/>
      <c r="AQ77" s="52"/>
      <c r="AR77" s="52"/>
      <c r="AS77" s="52" t="b">
        <v>0</v>
      </c>
      <c r="AT77" s="118"/>
      <c r="AU77" s="54"/>
      <c r="AV77" s="54"/>
      <c r="AW77" s="54"/>
      <c r="AX77" s="54" t="str">
        <f t="shared" si="14"/>
        <v>ملتزم</v>
      </c>
      <c r="AY77" s="54" t="s">
        <v>69</v>
      </c>
      <c r="AZ77" s="43" t="s">
        <v>107</v>
      </c>
      <c r="BA77" s="55"/>
      <c r="BB77" s="55"/>
      <c r="BC77" s="55"/>
      <c r="BD77" s="54"/>
      <c r="BE77" s="68">
        <v>38064</v>
      </c>
      <c r="BF77" s="54"/>
      <c r="BG77" s="54"/>
      <c r="BH77" s="54"/>
      <c r="BI77" s="54" t="s">
        <v>112</v>
      </c>
      <c r="BJ77" s="54">
        <f>(U77+V77+AE77)-BD77-BE77</f>
        <v>28136</v>
      </c>
      <c r="BK77" s="54" t="s">
        <v>190</v>
      </c>
    </row>
    <row r="78" spans="1:63" ht="34.5" hidden="1" customHeight="1" x14ac:dyDescent="0.25">
      <c r="A78" s="35">
        <f t="shared" si="26"/>
        <v>35</v>
      </c>
      <c r="B78" s="35" t="s">
        <v>186</v>
      </c>
      <c r="C78" s="71"/>
      <c r="D78" s="37" t="s">
        <v>106</v>
      </c>
      <c r="E78" s="37" t="b">
        <v>0</v>
      </c>
      <c r="F78" s="37"/>
      <c r="G78" s="65">
        <v>46022</v>
      </c>
      <c r="H78" s="42">
        <v>1</v>
      </c>
      <c r="I78" s="42" t="s">
        <v>191</v>
      </c>
      <c r="J78" s="59">
        <v>15864</v>
      </c>
      <c r="K78" s="61">
        <v>7012415415</v>
      </c>
      <c r="L78" s="61">
        <v>538361626</v>
      </c>
      <c r="M78" s="61">
        <v>2014968685</v>
      </c>
      <c r="N78" s="35" t="s">
        <v>73</v>
      </c>
      <c r="O78" s="42" t="s">
        <v>74</v>
      </c>
      <c r="P78" s="35">
        <v>12</v>
      </c>
      <c r="Q78" s="35">
        <v>8</v>
      </c>
      <c r="R78" s="35">
        <f t="shared" si="39"/>
        <v>96</v>
      </c>
      <c r="S78" s="62">
        <v>30000</v>
      </c>
      <c r="T78" s="44">
        <f t="shared" si="41"/>
        <v>3000</v>
      </c>
      <c r="U78" s="63">
        <f t="shared" ref="U78:U80" si="42">S78+T78</f>
        <v>33000</v>
      </c>
      <c r="V78" s="64"/>
      <c r="W78" s="64"/>
      <c r="X78" s="52">
        <v>12841</v>
      </c>
      <c r="Y78" s="48">
        <f t="shared" si="38"/>
        <v>11166.08695652174</v>
      </c>
      <c r="Z78" s="69">
        <v>0</v>
      </c>
      <c r="AA78" s="50">
        <f t="shared" si="30"/>
        <v>0</v>
      </c>
      <c r="AB78" s="50">
        <v>12841</v>
      </c>
      <c r="AC78" s="52">
        <v>34500</v>
      </c>
      <c r="AD78" s="52">
        <f>S78*1.15-AC78</f>
        <v>0</v>
      </c>
      <c r="AE78" s="53">
        <f>S78*1.15+X78-AB78-AC78</f>
        <v>0</v>
      </c>
      <c r="AF78" s="52" t="b">
        <v>1</v>
      </c>
      <c r="AG78" s="117">
        <v>45667</v>
      </c>
      <c r="AH78" s="52">
        <v>19090</v>
      </c>
      <c r="AI78" s="54" t="s">
        <v>68</v>
      </c>
      <c r="AJ78" s="52" t="s">
        <v>136</v>
      </c>
      <c r="AK78" s="116" t="s">
        <v>187</v>
      </c>
      <c r="AL78" s="116"/>
      <c r="AM78" s="52" t="b">
        <v>0</v>
      </c>
      <c r="AN78" s="126" t="s">
        <v>152</v>
      </c>
      <c r="AO78" s="52">
        <v>38066</v>
      </c>
      <c r="AP78" s="52"/>
      <c r="AQ78" s="52"/>
      <c r="AR78" s="52"/>
      <c r="AS78" s="52" t="b">
        <v>0</v>
      </c>
      <c r="AT78" s="54"/>
      <c r="AU78" s="52"/>
      <c r="AV78" s="52"/>
      <c r="AW78" s="52"/>
      <c r="AX78" s="52" t="str">
        <f t="shared" si="14"/>
        <v>ملتزم</v>
      </c>
      <c r="AY78" s="54" t="s">
        <v>192</v>
      </c>
      <c r="AZ78" s="43" t="s">
        <v>107</v>
      </c>
      <c r="BA78" s="55"/>
      <c r="BB78" s="55"/>
      <c r="BC78" s="55"/>
      <c r="BD78" s="54"/>
      <c r="BE78" s="68">
        <v>19090</v>
      </c>
      <c r="BF78" s="54"/>
      <c r="BG78" s="54"/>
      <c r="BH78" s="54"/>
      <c r="BI78" s="54" t="s">
        <v>72</v>
      </c>
      <c r="BJ78" s="54">
        <f>(U78+V78+AE78)-BD78-BE78</f>
        <v>13910</v>
      </c>
      <c r="BK78" s="54"/>
    </row>
    <row r="79" spans="1:63" ht="34.5" hidden="1" customHeight="1" x14ac:dyDescent="0.25">
      <c r="A79" s="35">
        <f t="shared" si="26"/>
        <v>36</v>
      </c>
      <c r="B79" s="35" t="s">
        <v>193</v>
      </c>
      <c r="C79" s="111">
        <v>20656984551</v>
      </c>
      <c r="D79" s="37" t="s">
        <v>106</v>
      </c>
      <c r="E79" s="37" t="b">
        <v>0</v>
      </c>
      <c r="F79" s="37"/>
      <c r="G79" s="65">
        <v>46022</v>
      </c>
      <c r="H79" s="35">
        <v>1</v>
      </c>
      <c r="I79" s="35">
        <v>32</v>
      </c>
      <c r="J79" s="81"/>
      <c r="K79" s="81"/>
      <c r="L79" s="81"/>
      <c r="M79" s="81"/>
      <c r="N79" s="35" t="s">
        <v>64</v>
      </c>
      <c r="O79" s="42" t="s">
        <v>97</v>
      </c>
      <c r="P79" s="35">
        <v>7</v>
      </c>
      <c r="Q79" s="35">
        <v>4.3499999999999996</v>
      </c>
      <c r="R79" s="35">
        <f t="shared" si="39"/>
        <v>30.449999999999996</v>
      </c>
      <c r="S79" s="43">
        <v>32000</v>
      </c>
      <c r="T79" s="44">
        <f t="shared" si="41"/>
        <v>3200</v>
      </c>
      <c r="U79" s="63">
        <f t="shared" si="42"/>
        <v>35200</v>
      </c>
      <c r="V79" s="106"/>
      <c r="W79" s="106"/>
      <c r="X79" s="52">
        <v>0</v>
      </c>
      <c r="Y79" s="48">
        <f t="shared" si="38"/>
        <v>0</v>
      </c>
      <c r="Z79" s="69">
        <v>0</v>
      </c>
      <c r="AA79" s="50">
        <f t="shared" si="30"/>
        <v>0</v>
      </c>
      <c r="AB79" s="50">
        <v>0</v>
      </c>
      <c r="AC79" s="52">
        <v>36800</v>
      </c>
      <c r="AD79" s="52">
        <f>S79*1.15-AC79</f>
        <v>0</v>
      </c>
      <c r="AE79" s="52">
        <f>S79*1.15+X79-AB79-AC79</f>
        <v>0</v>
      </c>
      <c r="AF79" s="52" t="b">
        <v>0</v>
      </c>
      <c r="AG79" s="52"/>
      <c r="AH79" s="52"/>
      <c r="AI79" s="52"/>
      <c r="AJ79" s="52"/>
      <c r="AK79" s="52"/>
      <c r="AL79" s="52"/>
      <c r="AM79" s="52" t="b">
        <v>0</v>
      </c>
      <c r="AN79" s="52"/>
      <c r="AO79" s="52"/>
      <c r="AP79" s="52"/>
      <c r="AQ79" s="52"/>
      <c r="AR79" s="52"/>
      <c r="AS79" s="52" t="b">
        <v>0</v>
      </c>
      <c r="AT79" s="52"/>
      <c r="AU79" s="52"/>
      <c r="AV79" s="52"/>
      <c r="AW79" s="52"/>
      <c r="AX79" s="52" t="str">
        <f t="shared" si="14"/>
        <v>ملتزم</v>
      </c>
      <c r="AY79" s="54" t="s">
        <v>69</v>
      </c>
      <c r="AZ79" s="43" t="s">
        <v>107</v>
      </c>
      <c r="BA79" s="55"/>
      <c r="BB79" s="55"/>
      <c r="BC79" s="55"/>
      <c r="BD79" s="54"/>
      <c r="BE79" s="68">
        <v>30555</v>
      </c>
      <c r="BF79" s="54"/>
      <c r="BG79" s="54"/>
      <c r="BH79" s="54"/>
      <c r="BI79" s="54" t="s">
        <v>112</v>
      </c>
      <c r="BJ79" s="54">
        <f>(U79+V79+AE79)-BD79-BE79</f>
        <v>4645</v>
      </c>
      <c r="BK79" s="54" t="s">
        <v>113</v>
      </c>
    </row>
    <row r="80" spans="1:63" ht="34.5" hidden="1" customHeight="1" x14ac:dyDescent="0.25">
      <c r="A80" s="35">
        <f t="shared" si="26"/>
        <v>37</v>
      </c>
      <c r="B80" s="35" t="s">
        <v>194</v>
      </c>
      <c r="C80" s="108"/>
      <c r="D80" s="37" t="s">
        <v>106</v>
      </c>
      <c r="E80" s="37" t="b">
        <v>0</v>
      </c>
      <c r="F80" s="37"/>
      <c r="G80" s="65">
        <v>46022</v>
      </c>
      <c r="H80" s="35">
        <v>1</v>
      </c>
      <c r="I80" s="35">
        <v>53</v>
      </c>
      <c r="J80" s="95">
        <v>32286</v>
      </c>
      <c r="K80" s="86">
        <v>7012321886</v>
      </c>
      <c r="L80" s="87">
        <v>500869909</v>
      </c>
      <c r="M80" s="81">
        <v>2283390793</v>
      </c>
      <c r="N80" s="35" t="s">
        <v>64</v>
      </c>
      <c r="O80" s="42" t="s">
        <v>97</v>
      </c>
      <c r="P80" s="35">
        <v>7</v>
      </c>
      <c r="Q80" s="35">
        <v>4.3499999999999996</v>
      </c>
      <c r="R80" s="35">
        <f t="shared" si="39"/>
        <v>30.449999999999996</v>
      </c>
      <c r="S80" s="43">
        <v>32000</v>
      </c>
      <c r="T80" s="44">
        <f t="shared" si="41"/>
        <v>3200</v>
      </c>
      <c r="U80" s="63">
        <f t="shared" si="42"/>
        <v>35200</v>
      </c>
      <c r="V80" s="106"/>
      <c r="W80" s="106"/>
      <c r="X80" s="52">
        <v>0</v>
      </c>
      <c r="Y80" s="48">
        <f t="shared" si="38"/>
        <v>0</v>
      </c>
      <c r="Z80" s="69">
        <v>0</v>
      </c>
      <c r="AA80" s="50">
        <f t="shared" si="30"/>
        <v>0</v>
      </c>
      <c r="AB80" s="50"/>
      <c r="AC80" s="52">
        <v>36800</v>
      </c>
      <c r="AD80" s="52">
        <f>S80*1.15-AC80</f>
        <v>0</v>
      </c>
      <c r="AE80" s="53">
        <f>S80*1.15+X80-AB80-AC80</f>
        <v>0</v>
      </c>
      <c r="AF80" s="52" t="b">
        <v>0</v>
      </c>
      <c r="AG80" s="52"/>
      <c r="AH80" s="52"/>
      <c r="AI80" s="52"/>
      <c r="AJ80" s="52"/>
      <c r="AK80" s="52"/>
      <c r="AL80" s="52"/>
      <c r="AM80" s="52" t="b">
        <v>0</v>
      </c>
      <c r="AN80" s="52"/>
      <c r="AO80" s="52"/>
      <c r="AP80" s="52"/>
      <c r="AQ80" s="52"/>
      <c r="AR80" s="52"/>
      <c r="AS80" s="52" t="b">
        <v>0</v>
      </c>
      <c r="AT80" s="52"/>
      <c r="AU80" s="52"/>
      <c r="AV80" s="52"/>
      <c r="AW80" s="52"/>
      <c r="AX80" s="52" t="str">
        <f t="shared" si="14"/>
        <v>ملتزم</v>
      </c>
      <c r="AY80" s="54" t="s">
        <v>69</v>
      </c>
      <c r="AZ80" s="43" t="s">
        <v>107</v>
      </c>
      <c r="BA80" s="70"/>
      <c r="BB80" s="70"/>
      <c r="BC80" s="70"/>
      <c r="BD80" s="54"/>
      <c r="BE80" s="68">
        <v>20355</v>
      </c>
      <c r="BF80" s="54"/>
      <c r="BG80" s="54"/>
      <c r="BH80" s="54"/>
      <c r="BI80" s="54" t="s">
        <v>76</v>
      </c>
      <c r="BJ80" s="54">
        <f>(U80+V80+AE80)-BD80-BE80</f>
        <v>14845</v>
      </c>
      <c r="BK80" s="54"/>
    </row>
    <row r="81" spans="1:63" ht="34.5" hidden="1" customHeight="1" x14ac:dyDescent="0.25">
      <c r="A81" s="35">
        <f t="shared" si="26"/>
        <v>38</v>
      </c>
      <c r="B81" s="35" t="s">
        <v>195</v>
      </c>
      <c r="C81" s="35"/>
      <c r="D81" s="37" t="s">
        <v>106</v>
      </c>
      <c r="E81" s="37" t="b">
        <v>0</v>
      </c>
      <c r="F81" s="37"/>
      <c r="G81" s="65">
        <v>46022</v>
      </c>
      <c r="H81" s="35">
        <v>1</v>
      </c>
      <c r="I81" s="35">
        <v>92</v>
      </c>
      <c r="J81" s="81"/>
      <c r="K81" s="87">
        <v>7001446793</v>
      </c>
      <c r="L81" s="87">
        <v>530800455</v>
      </c>
      <c r="M81" s="81">
        <v>1041701853</v>
      </c>
      <c r="N81" s="35" t="s">
        <v>64</v>
      </c>
      <c r="O81" s="42" t="s">
        <v>65</v>
      </c>
      <c r="P81" s="35">
        <v>12.4</v>
      </c>
      <c r="Q81" s="35">
        <v>6.6</v>
      </c>
      <c r="R81" s="35">
        <f t="shared" si="39"/>
        <v>81.84</v>
      </c>
      <c r="S81" s="43">
        <v>26000</v>
      </c>
      <c r="T81" s="44"/>
      <c r="U81" s="45"/>
      <c r="V81" s="46">
        <v>36828</v>
      </c>
      <c r="W81" s="46"/>
      <c r="X81" s="132">
        <v>0</v>
      </c>
      <c r="Y81" s="89">
        <f t="shared" si="38"/>
        <v>0</v>
      </c>
      <c r="Z81" s="133">
        <v>0</v>
      </c>
      <c r="AA81" s="91">
        <f t="shared" si="30"/>
        <v>0</v>
      </c>
      <c r="AB81" s="91"/>
      <c r="AC81" s="132">
        <v>29900</v>
      </c>
      <c r="AD81" s="54">
        <f>S81*1.15-AC81</f>
        <v>0</v>
      </c>
      <c r="AE81" s="53">
        <f>S81*1.15+X81-AB81-AC81</f>
        <v>0</v>
      </c>
      <c r="AF81" s="54" t="b">
        <v>0</v>
      </c>
      <c r="AG81" s="54"/>
      <c r="AH81" s="54"/>
      <c r="AI81" s="54"/>
      <c r="AJ81" s="54"/>
      <c r="AK81" s="54"/>
      <c r="AL81" s="54"/>
      <c r="AM81" s="54" t="b">
        <v>0</v>
      </c>
      <c r="AN81" s="54"/>
      <c r="AO81" s="54"/>
      <c r="AP81" s="54"/>
      <c r="AQ81" s="54"/>
      <c r="AR81" s="54"/>
      <c r="AS81" s="54" t="b">
        <v>0</v>
      </c>
      <c r="AT81" s="54"/>
      <c r="AU81" s="54"/>
      <c r="AV81" s="54"/>
      <c r="AW81" s="54"/>
      <c r="AX81" s="54" t="str">
        <f t="shared" si="14"/>
        <v>ملتزم</v>
      </c>
      <c r="AY81" s="54" t="s">
        <v>69</v>
      </c>
      <c r="AZ81" s="43" t="s">
        <v>107</v>
      </c>
      <c r="BA81" s="55"/>
      <c r="BB81" s="55"/>
      <c r="BC81" s="55"/>
      <c r="BD81" s="54"/>
      <c r="BE81" s="54"/>
      <c r="BF81" s="54"/>
      <c r="BG81" s="54"/>
      <c r="BH81" s="54"/>
      <c r="BI81" s="54" t="s">
        <v>72</v>
      </c>
      <c r="BJ81" s="54">
        <f>(U81+V81+AE81)-BD81-BE81</f>
        <v>36828</v>
      </c>
      <c r="BK81" s="54"/>
    </row>
    <row r="82" spans="1:63" ht="34.5" hidden="1" customHeight="1" x14ac:dyDescent="0.25">
      <c r="A82" s="35">
        <f t="shared" si="26"/>
        <v>39</v>
      </c>
      <c r="B82" s="35" t="s">
        <v>196</v>
      </c>
      <c r="C82" s="108"/>
      <c r="D82" s="37" t="s">
        <v>106</v>
      </c>
      <c r="E82" s="37" t="b">
        <v>0</v>
      </c>
      <c r="F82" s="37"/>
      <c r="G82" s="65">
        <v>46022</v>
      </c>
      <c r="H82" s="35">
        <v>1</v>
      </c>
      <c r="I82" s="35" t="s">
        <v>197</v>
      </c>
      <c r="J82" s="95" t="s">
        <v>198</v>
      </c>
      <c r="K82" s="81">
        <v>7002689862</v>
      </c>
      <c r="L82" s="81">
        <v>555724588</v>
      </c>
      <c r="M82" s="81">
        <v>1016833889</v>
      </c>
      <c r="N82" s="35" t="s">
        <v>64</v>
      </c>
      <c r="O82" s="42" t="s">
        <v>199</v>
      </c>
      <c r="P82" s="35">
        <v>55.8</v>
      </c>
      <c r="Q82" s="35">
        <v>20</v>
      </c>
      <c r="R82" s="35">
        <f t="shared" si="39"/>
        <v>1116</v>
      </c>
      <c r="S82" s="43">
        <v>90000</v>
      </c>
      <c r="T82" s="44">
        <v>18000</v>
      </c>
      <c r="U82" s="63">
        <f t="shared" ref="U82:U87" si="43">S82+T82</f>
        <v>108000</v>
      </c>
      <c r="V82" s="106"/>
      <c r="W82" s="106"/>
      <c r="X82" s="52">
        <v>0</v>
      </c>
      <c r="Y82" s="48">
        <f t="shared" si="38"/>
        <v>0</v>
      </c>
      <c r="Z82" s="69">
        <v>0</v>
      </c>
      <c r="AA82" s="50">
        <f t="shared" si="30"/>
        <v>0</v>
      </c>
      <c r="AB82" s="50"/>
      <c r="AC82" s="52">
        <v>103500</v>
      </c>
      <c r="AD82" s="52">
        <f>S82*1.15-AC82</f>
        <v>0</v>
      </c>
      <c r="AE82" s="53">
        <v>0</v>
      </c>
      <c r="AF82" s="52" t="b">
        <v>0</v>
      </c>
      <c r="AG82" s="52"/>
      <c r="AH82" s="52"/>
      <c r="AI82" s="52"/>
      <c r="AJ82" s="52"/>
      <c r="AK82" s="52"/>
      <c r="AL82" s="52"/>
      <c r="AM82" s="52" t="b">
        <v>0</v>
      </c>
      <c r="AN82" s="52"/>
      <c r="AO82" s="52"/>
      <c r="AP82" s="52"/>
      <c r="AQ82" s="52"/>
      <c r="AR82" s="52"/>
      <c r="AS82" s="52" t="b">
        <v>0</v>
      </c>
      <c r="AT82" s="52"/>
      <c r="AU82" s="52"/>
      <c r="AV82" s="52"/>
      <c r="AW82" s="52"/>
      <c r="AX82" s="52" t="str">
        <f t="shared" si="14"/>
        <v>ملتزم</v>
      </c>
      <c r="AY82" s="54" t="s">
        <v>77</v>
      </c>
      <c r="AZ82" s="43" t="s">
        <v>107</v>
      </c>
      <c r="BA82" s="70"/>
      <c r="BB82" s="70"/>
      <c r="BC82" s="70"/>
      <c r="BD82" s="54"/>
      <c r="BE82" s="54"/>
      <c r="BF82" s="54"/>
      <c r="BG82" s="54"/>
      <c r="BH82" s="54"/>
      <c r="BI82" s="54" t="s">
        <v>76</v>
      </c>
      <c r="BJ82" s="54">
        <f>(U82+V82+AE82)-BD82-BE82</f>
        <v>108000</v>
      </c>
      <c r="BK82" s="54"/>
    </row>
    <row r="83" spans="1:63" ht="34.5" hidden="1" customHeight="1" x14ac:dyDescent="0.25">
      <c r="A83" s="35">
        <f t="shared" si="26"/>
        <v>40</v>
      </c>
      <c r="B83" s="35" t="s">
        <v>200</v>
      </c>
      <c r="C83" s="35">
        <v>20415327427</v>
      </c>
      <c r="D83" s="37" t="s">
        <v>100</v>
      </c>
      <c r="E83" s="37" t="b">
        <v>0</v>
      </c>
      <c r="F83" s="37"/>
      <c r="G83" s="65">
        <v>45657</v>
      </c>
      <c r="H83" s="35">
        <v>1</v>
      </c>
      <c r="I83" s="35">
        <v>131</v>
      </c>
      <c r="J83" s="84" t="s">
        <v>201</v>
      </c>
      <c r="K83" s="81">
        <v>7001757066</v>
      </c>
      <c r="L83" s="81">
        <v>566663017</v>
      </c>
      <c r="M83" s="81">
        <v>2057432375</v>
      </c>
      <c r="N83" s="35" t="s">
        <v>64</v>
      </c>
      <c r="O83" s="42" t="s">
        <v>84</v>
      </c>
      <c r="P83" s="35">
        <v>7.9</v>
      </c>
      <c r="Q83" s="35">
        <v>8.1999999999999993</v>
      </c>
      <c r="R83" s="35">
        <f t="shared" si="39"/>
        <v>64.78</v>
      </c>
      <c r="S83" s="43">
        <v>30000</v>
      </c>
      <c r="T83" s="44">
        <f t="shared" ref="T83:T87" si="44">S83*10/100</f>
        <v>3000</v>
      </c>
      <c r="U83" s="63">
        <f t="shared" si="43"/>
        <v>33000</v>
      </c>
      <c r="V83" s="46">
        <v>35500</v>
      </c>
      <c r="W83" s="46"/>
      <c r="X83" s="51"/>
      <c r="Y83" s="48">
        <f t="shared" si="38"/>
        <v>0</v>
      </c>
      <c r="Z83" s="49">
        <v>0</v>
      </c>
      <c r="AA83" s="50">
        <v>0</v>
      </c>
      <c r="AB83" s="50">
        <v>0</v>
      </c>
      <c r="AC83" s="51">
        <v>34500</v>
      </c>
      <c r="AD83" s="52">
        <f>S83*1.15-AC83</f>
        <v>0</v>
      </c>
      <c r="AE83" s="53">
        <f>S83*1.15+X83-AB83-AC83</f>
        <v>0</v>
      </c>
      <c r="AF83" s="52" t="b">
        <v>1</v>
      </c>
      <c r="AG83" s="52" t="s">
        <v>67</v>
      </c>
      <c r="AH83" s="52">
        <v>23575</v>
      </c>
      <c r="AI83" s="52" t="s">
        <v>136</v>
      </c>
      <c r="AJ83" s="52" t="s">
        <v>136</v>
      </c>
      <c r="AK83" s="116" t="s">
        <v>202</v>
      </c>
      <c r="AL83" s="116"/>
      <c r="AM83" s="52" t="b">
        <v>0</v>
      </c>
      <c r="AN83" s="117">
        <v>45971</v>
      </c>
      <c r="AO83" s="52">
        <v>23575</v>
      </c>
      <c r="AP83" s="52"/>
      <c r="AQ83" s="52"/>
      <c r="AR83" s="52"/>
      <c r="AS83" s="52" t="b">
        <v>0</v>
      </c>
      <c r="AT83" s="118"/>
      <c r="AU83" s="52"/>
      <c r="AV83" s="52"/>
      <c r="AW83" s="52"/>
      <c r="AX83" s="52" t="str">
        <f t="shared" si="14"/>
        <v>ملتزم</v>
      </c>
      <c r="AY83" s="54" t="s">
        <v>77</v>
      </c>
      <c r="AZ83" s="43" t="s">
        <v>70</v>
      </c>
      <c r="BA83" s="70"/>
      <c r="BB83" s="70"/>
      <c r="BC83" s="70"/>
      <c r="BD83" s="54"/>
      <c r="BE83" s="54"/>
      <c r="BF83" s="54"/>
      <c r="BG83" s="54"/>
      <c r="BH83" s="54"/>
      <c r="BI83" s="54" t="s">
        <v>72</v>
      </c>
      <c r="BJ83" s="54">
        <f>(U83+V83+AE83)-BD83-BE83</f>
        <v>68500</v>
      </c>
      <c r="BK83" s="54"/>
    </row>
    <row r="84" spans="1:63" ht="34.5" hidden="1" customHeight="1" x14ac:dyDescent="0.25">
      <c r="A84" s="35">
        <f t="shared" si="26"/>
        <v>41</v>
      </c>
      <c r="B84" s="35" t="s">
        <v>200</v>
      </c>
      <c r="C84" s="35">
        <v>20952694804</v>
      </c>
      <c r="D84" s="37" t="s">
        <v>100</v>
      </c>
      <c r="E84" s="37" t="b">
        <v>0</v>
      </c>
      <c r="F84" s="37"/>
      <c r="G84" s="65">
        <v>45657</v>
      </c>
      <c r="H84" s="35">
        <v>1</v>
      </c>
      <c r="I84" s="35">
        <v>170</v>
      </c>
      <c r="J84" s="84" t="s">
        <v>201</v>
      </c>
      <c r="K84" s="81">
        <v>7011567356</v>
      </c>
      <c r="L84" s="81">
        <v>566663017</v>
      </c>
      <c r="M84" s="81">
        <v>2057432375</v>
      </c>
      <c r="N84" s="35" t="s">
        <v>64</v>
      </c>
      <c r="O84" s="42" t="s">
        <v>84</v>
      </c>
      <c r="P84" s="35">
        <v>10.4</v>
      </c>
      <c r="Q84" s="35">
        <v>9.4</v>
      </c>
      <c r="R84" s="35">
        <f t="shared" si="39"/>
        <v>97.76</v>
      </c>
      <c r="S84" s="43">
        <v>30000</v>
      </c>
      <c r="T84" s="44">
        <f t="shared" si="44"/>
        <v>3000</v>
      </c>
      <c r="U84" s="63">
        <f t="shared" si="43"/>
        <v>33000</v>
      </c>
      <c r="V84" s="46">
        <v>48880</v>
      </c>
      <c r="W84" s="46"/>
      <c r="X84" s="52"/>
      <c r="Y84" s="48">
        <f t="shared" si="38"/>
        <v>0</v>
      </c>
      <c r="Z84" s="69">
        <v>0</v>
      </c>
      <c r="AA84" s="50">
        <f t="shared" ref="AA84:AA91" si="45">Z84/1.15</f>
        <v>0</v>
      </c>
      <c r="AB84" s="50"/>
      <c r="AC84" s="52">
        <v>34500</v>
      </c>
      <c r="AD84" s="52">
        <f>S84*1.15-AC84</f>
        <v>0</v>
      </c>
      <c r="AE84" s="53">
        <f>S84*1.15+X84-AB84-AC84</f>
        <v>0</v>
      </c>
      <c r="AF84" s="52" t="b">
        <v>0</v>
      </c>
      <c r="AG84" s="52"/>
      <c r="AH84" s="52"/>
      <c r="AI84" s="52"/>
      <c r="AJ84" s="52"/>
      <c r="AK84" s="52"/>
      <c r="AL84" s="52"/>
      <c r="AM84" s="52" t="b">
        <v>0</v>
      </c>
      <c r="AN84" s="52"/>
      <c r="AO84" s="52"/>
      <c r="AP84" s="52"/>
      <c r="AQ84" s="52"/>
      <c r="AR84" s="52"/>
      <c r="AS84" s="52" t="b">
        <v>0</v>
      </c>
      <c r="AT84" s="52"/>
      <c r="AU84" s="52"/>
      <c r="AV84" s="52"/>
      <c r="AW84" s="52"/>
      <c r="AX84" s="52" t="str">
        <f t="shared" si="14"/>
        <v>ملتزم</v>
      </c>
      <c r="AY84" s="54" t="s">
        <v>77</v>
      </c>
      <c r="AZ84" s="43" t="s">
        <v>86</v>
      </c>
      <c r="BA84" s="70"/>
      <c r="BB84" s="70"/>
      <c r="BC84" s="70"/>
      <c r="BD84" s="54"/>
      <c r="BE84" s="54"/>
      <c r="BF84" s="54"/>
      <c r="BG84" s="54"/>
      <c r="BH84" s="54"/>
      <c r="BI84" s="54" t="s">
        <v>72</v>
      </c>
      <c r="BJ84" s="54">
        <f>(U84+V84+AE84)-BD84-BE84</f>
        <v>81880</v>
      </c>
      <c r="BK84" s="54"/>
    </row>
    <row r="85" spans="1:63" ht="34.5" hidden="1" customHeight="1" x14ac:dyDescent="0.25">
      <c r="A85" s="35">
        <f t="shared" si="26"/>
        <v>42</v>
      </c>
      <c r="B85" s="35" t="s">
        <v>203</v>
      </c>
      <c r="C85" s="105">
        <v>20048344263</v>
      </c>
      <c r="D85" s="37" t="s">
        <v>106</v>
      </c>
      <c r="E85" s="37" t="b">
        <v>0</v>
      </c>
      <c r="F85" s="37"/>
      <c r="G85" s="65">
        <v>46022</v>
      </c>
      <c r="H85" s="35">
        <v>1</v>
      </c>
      <c r="I85" s="35">
        <v>372</v>
      </c>
      <c r="J85" s="84" t="s">
        <v>204</v>
      </c>
      <c r="K85" s="81">
        <v>7001757066</v>
      </c>
      <c r="L85" s="81">
        <v>566663017</v>
      </c>
      <c r="M85" s="81">
        <v>257432375</v>
      </c>
      <c r="N85" s="35" t="s">
        <v>73</v>
      </c>
      <c r="O85" s="35" t="s">
        <v>97</v>
      </c>
      <c r="P85" s="35">
        <v>5</v>
      </c>
      <c r="Q85" s="35">
        <v>4</v>
      </c>
      <c r="R85" s="35">
        <f t="shared" si="39"/>
        <v>20</v>
      </c>
      <c r="S85" s="44">
        <v>30000</v>
      </c>
      <c r="T85" s="44">
        <f t="shared" si="44"/>
        <v>3000</v>
      </c>
      <c r="U85" s="63">
        <f t="shared" si="43"/>
        <v>33000</v>
      </c>
      <c r="V85" s="106"/>
      <c r="W85" s="106"/>
      <c r="X85" s="52">
        <v>0</v>
      </c>
      <c r="Y85" s="48">
        <f t="shared" si="38"/>
        <v>0</v>
      </c>
      <c r="Z85" s="50">
        <v>0</v>
      </c>
      <c r="AA85" s="50">
        <f t="shared" si="45"/>
        <v>0</v>
      </c>
      <c r="AB85" s="50"/>
      <c r="AC85" s="52">
        <v>34500</v>
      </c>
      <c r="AD85" s="52">
        <f>S85*1.15-AC85</f>
        <v>0</v>
      </c>
      <c r="AE85" s="53">
        <f>S85*1.15+X85-AB85-AC85</f>
        <v>0</v>
      </c>
      <c r="AF85" s="52" t="b">
        <v>0</v>
      </c>
      <c r="AG85" s="52"/>
      <c r="AH85" s="52"/>
      <c r="AI85" s="52"/>
      <c r="AJ85" s="52"/>
      <c r="AK85" s="52"/>
      <c r="AL85" s="52"/>
      <c r="AM85" s="52" t="b">
        <v>0</v>
      </c>
      <c r="AN85" s="52"/>
      <c r="AO85" s="52"/>
      <c r="AP85" s="52"/>
      <c r="AQ85" s="52"/>
      <c r="AR85" s="52"/>
      <c r="AS85" s="52" t="b">
        <v>0</v>
      </c>
      <c r="AT85" s="52"/>
      <c r="AU85" s="52"/>
      <c r="AV85" s="52"/>
      <c r="AW85" s="52"/>
      <c r="AX85" s="52" t="str">
        <f t="shared" si="14"/>
        <v>ملتزم</v>
      </c>
      <c r="AY85" s="54" t="s">
        <v>69</v>
      </c>
      <c r="AZ85" s="43" t="s">
        <v>107</v>
      </c>
      <c r="BA85" s="55"/>
      <c r="BB85" s="55"/>
      <c r="BC85" s="55"/>
      <c r="BD85" s="54"/>
      <c r="BE85" s="68">
        <v>38180</v>
      </c>
      <c r="BF85" s="54"/>
      <c r="BG85" s="54"/>
      <c r="BH85" s="54"/>
      <c r="BI85" s="54" t="s">
        <v>112</v>
      </c>
      <c r="BJ85" s="54">
        <f>(U85+V85+AE85)-BD85-BE85</f>
        <v>-5180</v>
      </c>
      <c r="BK85" s="54" t="s">
        <v>205</v>
      </c>
    </row>
    <row r="86" spans="1:63" ht="34.5" hidden="1" customHeight="1" x14ac:dyDescent="0.25">
      <c r="A86" s="35">
        <f t="shared" si="26"/>
        <v>43</v>
      </c>
      <c r="B86" s="35" t="s">
        <v>206</v>
      </c>
      <c r="C86" s="105">
        <v>20595023328</v>
      </c>
      <c r="D86" s="37" t="s">
        <v>106</v>
      </c>
      <c r="E86" s="37" t="b">
        <v>0</v>
      </c>
      <c r="F86" s="37"/>
      <c r="G86" s="65">
        <v>46022</v>
      </c>
      <c r="H86" s="35">
        <v>1</v>
      </c>
      <c r="I86" s="35">
        <v>344</v>
      </c>
      <c r="J86" s="84" t="s">
        <v>207</v>
      </c>
      <c r="K86" s="81">
        <v>7021602516</v>
      </c>
      <c r="L86" s="81">
        <v>553076476</v>
      </c>
      <c r="M86" s="81">
        <v>1126043825</v>
      </c>
      <c r="N86" s="35" t="s">
        <v>73</v>
      </c>
      <c r="O86" s="35" t="s">
        <v>97</v>
      </c>
      <c r="P86" s="35">
        <v>5</v>
      </c>
      <c r="Q86" s="35">
        <v>4</v>
      </c>
      <c r="R86" s="35">
        <f t="shared" si="39"/>
        <v>20</v>
      </c>
      <c r="S86" s="44">
        <v>30000</v>
      </c>
      <c r="T86" s="44">
        <f t="shared" si="44"/>
        <v>3000</v>
      </c>
      <c r="U86" s="63">
        <f t="shared" si="43"/>
        <v>33000</v>
      </c>
      <c r="V86" s="106"/>
      <c r="W86" s="106"/>
      <c r="X86" s="52">
        <v>0</v>
      </c>
      <c r="Y86" s="48">
        <f t="shared" si="38"/>
        <v>0</v>
      </c>
      <c r="Z86" s="50">
        <v>0</v>
      </c>
      <c r="AA86" s="50">
        <f t="shared" si="45"/>
        <v>0</v>
      </c>
      <c r="AB86" s="50"/>
      <c r="AC86" s="52">
        <v>34500</v>
      </c>
      <c r="AD86" s="52">
        <f>S86*1.15-AC86</f>
        <v>0</v>
      </c>
      <c r="AE86" s="53">
        <f>S86*1.15+X86-AB86-AC86</f>
        <v>0</v>
      </c>
      <c r="AF86" s="52" t="b">
        <v>0</v>
      </c>
      <c r="AG86" s="52"/>
      <c r="AH86" s="52"/>
      <c r="AI86" s="52"/>
      <c r="AJ86" s="52"/>
      <c r="AK86" s="52"/>
      <c r="AL86" s="52"/>
      <c r="AM86" s="52" t="b">
        <v>0</v>
      </c>
      <c r="AN86" s="52"/>
      <c r="AO86" s="52"/>
      <c r="AP86" s="52"/>
      <c r="AQ86" s="52"/>
      <c r="AR86" s="52"/>
      <c r="AS86" s="52" t="b">
        <v>0</v>
      </c>
      <c r="AT86" s="52"/>
      <c r="AU86" s="52"/>
      <c r="AV86" s="52"/>
      <c r="AW86" s="52"/>
      <c r="AX86" s="52" t="str">
        <f t="shared" si="14"/>
        <v>ملتزم</v>
      </c>
      <c r="AY86" s="54" t="s">
        <v>69</v>
      </c>
      <c r="AZ86" s="43" t="s">
        <v>107</v>
      </c>
      <c r="BA86" s="55"/>
      <c r="BB86" s="55"/>
      <c r="BC86" s="55"/>
      <c r="BD86" s="54"/>
      <c r="BE86" s="68">
        <v>28635</v>
      </c>
      <c r="BF86" s="54"/>
      <c r="BG86" s="54"/>
      <c r="BH86" s="54"/>
      <c r="BI86" s="54" t="s">
        <v>76</v>
      </c>
      <c r="BJ86" s="54">
        <f>(U86+V86+AE86)-BD86-BE86</f>
        <v>4365</v>
      </c>
      <c r="BK86" s="54" t="s">
        <v>113</v>
      </c>
    </row>
    <row r="87" spans="1:63" ht="34.5" hidden="1" customHeight="1" x14ac:dyDescent="0.25">
      <c r="A87" s="35">
        <f t="shared" si="26"/>
        <v>44</v>
      </c>
      <c r="B87" s="57" t="s">
        <v>208</v>
      </c>
      <c r="C87" s="57">
        <v>20594151689</v>
      </c>
      <c r="D87" s="37" t="s">
        <v>106</v>
      </c>
      <c r="E87" s="37" t="b">
        <v>0</v>
      </c>
      <c r="F87" s="37"/>
      <c r="G87" s="65">
        <v>46022</v>
      </c>
      <c r="H87" s="42">
        <v>1</v>
      </c>
      <c r="I87" s="42">
        <v>24</v>
      </c>
      <c r="J87" s="112">
        <v>31413</v>
      </c>
      <c r="K87" s="61">
        <v>7011491367</v>
      </c>
      <c r="L87" s="61">
        <v>548090201</v>
      </c>
      <c r="M87" s="61">
        <v>205784191</v>
      </c>
      <c r="N87" s="35" t="s">
        <v>73</v>
      </c>
      <c r="O87" s="42" t="s">
        <v>74</v>
      </c>
      <c r="P87" s="35"/>
      <c r="Q87" s="35"/>
      <c r="R87" s="35">
        <v>35.799999999999997</v>
      </c>
      <c r="S87" s="62">
        <v>25000</v>
      </c>
      <c r="T87" s="44">
        <f t="shared" si="44"/>
        <v>2500</v>
      </c>
      <c r="U87" s="63">
        <f t="shared" si="43"/>
        <v>27500</v>
      </c>
      <c r="V87" s="64"/>
      <c r="W87" s="64"/>
      <c r="X87" s="51"/>
      <c r="Y87" s="48">
        <f t="shared" si="38"/>
        <v>0</v>
      </c>
      <c r="Z87" s="49">
        <v>0</v>
      </c>
      <c r="AA87" s="50">
        <f t="shared" si="45"/>
        <v>0</v>
      </c>
      <c r="AB87" s="50"/>
      <c r="AC87" s="51">
        <v>28750</v>
      </c>
      <c r="AD87" s="52">
        <f>S87*1.15-AC87</f>
        <v>0</v>
      </c>
      <c r="AE87" s="53">
        <f>S87*1.15+X87-AB87-AC87</f>
        <v>0</v>
      </c>
      <c r="AF87" s="52" t="b">
        <v>0</v>
      </c>
      <c r="AG87" s="52"/>
      <c r="AH87" s="52"/>
      <c r="AI87" s="52"/>
      <c r="AJ87" s="52"/>
      <c r="AK87" s="52"/>
      <c r="AL87" s="52"/>
      <c r="AM87" s="52" t="b">
        <v>0</v>
      </c>
      <c r="AN87" s="52"/>
      <c r="AO87" s="52"/>
      <c r="AP87" s="52"/>
      <c r="AQ87" s="52"/>
      <c r="AR87" s="52"/>
      <c r="AS87" s="52" t="b">
        <v>0</v>
      </c>
      <c r="AT87" s="52"/>
      <c r="AU87" s="52"/>
      <c r="AV87" s="52"/>
      <c r="AW87" s="52"/>
      <c r="AX87" s="52" t="str">
        <f t="shared" si="14"/>
        <v>ملتزم</v>
      </c>
      <c r="AY87" s="54" t="s">
        <v>77</v>
      </c>
      <c r="AZ87" s="43" t="s">
        <v>107</v>
      </c>
      <c r="BA87" s="55"/>
      <c r="BB87" s="55"/>
      <c r="BC87" s="55"/>
      <c r="BD87" s="54"/>
      <c r="BE87" s="68">
        <v>23889</v>
      </c>
      <c r="BF87" s="54"/>
      <c r="BG87" s="54"/>
      <c r="BH87" s="54"/>
      <c r="BI87" s="54" t="s">
        <v>72</v>
      </c>
      <c r="BJ87" s="54">
        <f>(U87+V87+AE87)-BD87-BE87</f>
        <v>3611</v>
      </c>
      <c r="BK87" s="54"/>
    </row>
    <row r="88" spans="1:63" ht="34.5" hidden="1" customHeight="1" x14ac:dyDescent="0.25">
      <c r="A88" s="35">
        <f t="shared" si="26"/>
        <v>45</v>
      </c>
      <c r="B88" s="35" t="s">
        <v>209</v>
      </c>
      <c r="C88" s="105">
        <v>20324624170</v>
      </c>
      <c r="D88" s="37" t="s">
        <v>106</v>
      </c>
      <c r="E88" s="37" t="b">
        <v>0</v>
      </c>
      <c r="F88" s="37"/>
      <c r="G88" s="113">
        <v>46022</v>
      </c>
      <c r="H88" s="35">
        <v>1</v>
      </c>
      <c r="I88" s="35">
        <v>221</v>
      </c>
      <c r="J88" s="95" t="s">
        <v>210</v>
      </c>
      <c r="K88" s="87">
        <v>7011491367</v>
      </c>
      <c r="L88" s="87">
        <v>548090201</v>
      </c>
      <c r="M88" s="81">
        <v>2057841914</v>
      </c>
      <c r="N88" s="35" t="s">
        <v>73</v>
      </c>
      <c r="O88" s="35" t="s">
        <v>97</v>
      </c>
      <c r="P88" s="35">
        <v>3.65</v>
      </c>
      <c r="Q88" s="35">
        <v>4.12</v>
      </c>
      <c r="R88" s="35">
        <f t="shared" ref="R88:R89" si="46">P88*Q88</f>
        <v>15.038</v>
      </c>
      <c r="S88" s="44">
        <v>34000</v>
      </c>
      <c r="T88" s="44">
        <f>S88*20/100</f>
        <v>6800</v>
      </c>
      <c r="U88" s="63">
        <f>S88+T88+200</f>
        <v>41000</v>
      </c>
      <c r="V88" s="44"/>
      <c r="W88" s="44"/>
      <c r="X88" s="54">
        <v>0</v>
      </c>
      <c r="Y88" s="89">
        <f t="shared" si="38"/>
        <v>0</v>
      </c>
      <c r="Z88" s="91">
        <v>0</v>
      </c>
      <c r="AA88" s="91">
        <f t="shared" si="45"/>
        <v>0</v>
      </c>
      <c r="AB88" s="91"/>
      <c r="AC88" s="54">
        <v>39100</v>
      </c>
      <c r="AD88" s="54">
        <f>S88*1.15-AC88</f>
        <v>0</v>
      </c>
      <c r="AE88" s="53">
        <f>S88*1.15+X88-AB88-AC88</f>
        <v>0</v>
      </c>
      <c r="AF88" s="54" t="b">
        <v>0</v>
      </c>
      <c r="AG88" s="134"/>
      <c r="AH88" s="54"/>
      <c r="AI88" s="54"/>
      <c r="AJ88" s="52"/>
      <c r="AK88" s="54"/>
      <c r="AL88" s="54"/>
      <c r="AM88" s="54" t="b">
        <v>0</v>
      </c>
      <c r="AN88" s="134"/>
      <c r="AO88" s="54"/>
      <c r="AP88" s="54"/>
      <c r="AQ88" s="54"/>
      <c r="AR88" s="54"/>
      <c r="AS88" s="52" t="b">
        <v>0</v>
      </c>
      <c r="AT88" s="54"/>
      <c r="AU88" s="54"/>
      <c r="AV88" s="54"/>
      <c r="AW88" s="54"/>
      <c r="AX88" s="54" t="str">
        <f t="shared" si="14"/>
        <v>ملتزم</v>
      </c>
      <c r="AY88" s="54" t="s">
        <v>69</v>
      </c>
      <c r="AZ88" s="43" t="s">
        <v>107</v>
      </c>
      <c r="BA88" s="55"/>
      <c r="BB88" s="55"/>
      <c r="BC88" s="55"/>
      <c r="BD88" s="54"/>
      <c r="BE88" s="68">
        <v>35362</v>
      </c>
      <c r="BF88" s="54"/>
      <c r="BG88" s="54"/>
      <c r="BH88" s="54"/>
      <c r="BI88" s="54" t="s">
        <v>76</v>
      </c>
      <c r="BJ88" s="54">
        <f>(U88+V88+AE88)-BD88-BE88</f>
        <v>5638</v>
      </c>
      <c r="BK88" s="54"/>
    </row>
    <row r="89" spans="1:63" ht="34.5" hidden="1" customHeight="1" x14ac:dyDescent="0.25">
      <c r="A89" s="35">
        <f t="shared" si="26"/>
        <v>46</v>
      </c>
      <c r="B89" s="35" t="s">
        <v>211</v>
      </c>
      <c r="C89" s="35">
        <v>20498204337</v>
      </c>
      <c r="D89" s="37" t="s">
        <v>106</v>
      </c>
      <c r="E89" s="37" t="b">
        <v>0</v>
      </c>
      <c r="F89" s="37"/>
      <c r="G89" s="38">
        <v>46022</v>
      </c>
      <c r="H89" s="35">
        <v>1</v>
      </c>
      <c r="I89" s="35" t="s">
        <v>212</v>
      </c>
      <c r="J89" s="81" t="s">
        <v>213</v>
      </c>
      <c r="K89" s="87">
        <v>7016014024</v>
      </c>
      <c r="L89" s="87">
        <v>544712053</v>
      </c>
      <c r="M89" s="81">
        <v>2091269668</v>
      </c>
      <c r="N89" s="35" t="s">
        <v>64</v>
      </c>
      <c r="O89" s="42" t="s">
        <v>214</v>
      </c>
      <c r="P89" s="35"/>
      <c r="Q89" s="35"/>
      <c r="R89" s="35">
        <f t="shared" si="46"/>
        <v>0</v>
      </c>
      <c r="S89" s="43">
        <v>30000</v>
      </c>
      <c r="T89" s="44">
        <f t="shared" ref="T89:T92" si="47">S89*10/100</f>
        <v>3000</v>
      </c>
      <c r="U89" s="63">
        <f t="shared" ref="U89:U92" si="48">S89+T89</f>
        <v>33000</v>
      </c>
      <c r="V89" s="106"/>
      <c r="W89" s="106"/>
      <c r="X89" s="52">
        <v>0</v>
      </c>
      <c r="Y89" s="48">
        <f t="shared" si="38"/>
        <v>0</v>
      </c>
      <c r="Z89" s="69">
        <v>0</v>
      </c>
      <c r="AA89" s="50">
        <f t="shared" si="45"/>
        <v>0</v>
      </c>
      <c r="AB89" s="50"/>
      <c r="AC89" s="52">
        <v>34500</v>
      </c>
      <c r="AD89" s="52">
        <f>S89*1.15-AC89</f>
        <v>0</v>
      </c>
      <c r="AE89" s="53">
        <f>S89*1.15+X89-AB89-AC89</f>
        <v>0</v>
      </c>
      <c r="AF89" s="52" t="b">
        <v>0</v>
      </c>
      <c r="AG89" s="52"/>
      <c r="AH89" s="52"/>
      <c r="AI89" s="52"/>
      <c r="AJ89" s="52"/>
      <c r="AK89" s="52"/>
      <c r="AL89" s="52"/>
      <c r="AM89" s="52" t="b">
        <v>0</v>
      </c>
      <c r="AN89" s="52"/>
      <c r="AO89" s="52"/>
      <c r="AP89" s="52"/>
      <c r="AQ89" s="52"/>
      <c r="AR89" s="52"/>
      <c r="AS89" s="52" t="b">
        <v>0</v>
      </c>
      <c r="AT89" s="52"/>
      <c r="AU89" s="52"/>
      <c r="AV89" s="52"/>
      <c r="AW89" s="52"/>
      <c r="AX89" s="52" t="str">
        <f t="shared" si="14"/>
        <v>ملتزم</v>
      </c>
      <c r="AY89" s="52" t="s">
        <v>69</v>
      </c>
      <c r="AZ89" s="43" t="s">
        <v>107</v>
      </c>
      <c r="BA89" s="55"/>
      <c r="BB89" s="55"/>
      <c r="BC89" s="55"/>
      <c r="BD89" s="52"/>
      <c r="BE89" s="52">
        <v>12650</v>
      </c>
      <c r="BF89" s="52"/>
      <c r="BG89" s="52"/>
      <c r="BH89" s="52"/>
      <c r="BI89" s="54" t="s">
        <v>76</v>
      </c>
      <c r="BJ89" s="54">
        <f>(U89+V89+AE89)-BD89-BE89</f>
        <v>20350</v>
      </c>
      <c r="BK89" s="52" t="s">
        <v>215</v>
      </c>
    </row>
    <row r="90" spans="1:63" ht="34.5" hidden="1" customHeight="1" x14ac:dyDescent="0.25">
      <c r="A90" s="35">
        <f t="shared" si="26"/>
        <v>47</v>
      </c>
      <c r="B90" s="57" t="s">
        <v>216</v>
      </c>
      <c r="C90" s="71"/>
      <c r="D90" s="37" t="s">
        <v>134</v>
      </c>
      <c r="E90" s="37" t="b">
        <v>0</v>
      </c>
      <c r="F90" s="37"/>
      <c r="G90" s="65"/>
      <c r="H90" s="42">
        <v>1</v>
      </c>
      <c r="I90" s="42">
        <v>29</v>
      </c>
      <c r="J90" s="59" t="s">
        <v>217</v>
      </c>
      <c r="K90" s="61">
        <v>7001444665</v>
      </c>
      <c r="L90" s="61">
        <v>553379077</v>
      </c>
      <c r="M90" s="61">
        <v>1017669357</v>
      </c>
      <c r="N90" s="35" t="s">
        <v>73</v>
      </c>
      <c r="O90" s="42" t="s">
        <v>74</v>
      </c>
      <c r="P90" s="35"/>
      <c r="Q90" s="35"/>
      <c r="R90" s="35">
        <v>104.2</v>
      </c>
      <c r="S90" s="62">
        <v>30000</v>
      </c>
      <c r="T90" s="44">
        <f t="shared" si="47"/>
        <v>3000</v>
      </c>
      <c r="U90" s="63">
        <f t="shared" si="48"/>
        <v>33000</v>
      </c>
      <c r="V90" s="64"/>
      <c r="W90" s="64"/>
      <c r="X90" s="52">
        <v>134822</v>
      </c>
      <c r="Y90" s="48">
        <f t="shared" si="38"/>
        <v>117236.52173913045</v>
      </c>
      <c r="Z90" s="69">
        <v>0</v>
      </c>
      <c r="AA90" s="50">
        <f t="shared" si="45"/>
        <v>0</v>
      </c>
      <c r="AB90" s="50"/>
      <c r="AC90" s="52">
        <v>0</v>
      </c>
      <c r="AD90" s="52">
        <f>S90*1.15-AC90</f>
        <v>34500</v>
      </c>
      <c r="AE90" s="53">
        <f>S90*1.15+X90-AB90-AC90</f>
        <v>169322</v>
      </c>
      <c r="AF90" s="52" t="b">
        <v>0</v>
      </c>
      <c r="AG90" s="52"/>
      <c r="AH90" s="52"/>
      <c r="AI90" s="52"/>
      <c r="AJ90" s="52"/>
      <c r="AK90" s="52"/>
      <c r="AL90" s="52"/>
      <c r="AM90" s="52" t="b">
        <v>0</v>
      </c>
      <c r="AN90" s="52"/>
      <c r="AO90" s="52"/>
      <c r="AP90" s="52"/>
      <c r="AQ90" s="52"/>
      <c r="AR90" s="52"/>
      <c r="AS90" s="52" t="b">
        <v>0</v>
      </c>
      <c r="AT90" s="52"/>
      <c r="AU90" s="52"/>
      <c r="AV90" s="52"/>
      <c r="AW90" s="52"/>
      <c r="AX90" s="52" t="str">
        <f t="shared" si="14"/>
        <v>غير ملتزم</v>
      </c>
      <c r="AY90" s="54" t="s">
        <v>102</v>
      </c>
      <c r="AZ90" s="43"/>
      <c r="BA90" s="107" t="s">
        <v>98</v>
      </c>
      <c r="BB90" s="107"/>
      <c r="BC90" s="107"/>
      <c r="BD90" s="54"/>
      <c r="BE90" s="54"/>
      <c r="BF90" s="54"/>
      <c r="BG90" s="54"/>
      <c r="BH90" s="54"/>
      <c r="BI90" s="54"/>
      <c r="BJ90" s="54">
        <f>(U90+V90+AE90)-BD90-BE90</f>
        <v>202322</v>
      </c>
      <c r="BK90" s="54"/>
    </row>
    <row r="91" spans="1:63" ht="34.5" hidden="1" customHeight="1" x14ac:dyDescent="0.25">
      <c r="A91" s="35">
        <f t="shared" si="26"/>
        <v>48</v>
      </c>
      <c r="B91" s="57" t="s">
        <v>216</v>
      </c>
      <c r="C91" s="71"/>
      <c r="D91" s="37" t="s">
        <v>100</v>
      </c>
      <c r="E91" s="37" t="b">
        <v>0</v>
      </c>
      <c r="F91" s="37"/>
      <c r="G91" s="65"/>
      <c r="H91" s="42">
        <v>1</v>
      </c>
      <c r="I91" s="42">
        <v>31</v>
      </c>
      <c r="J91" s="59" t="s">
        <v>217</v>
      </c>
      <c r="K91" s="61">
        <v>7001444665</v>
      </c>
      <c r="L91" s="61">
        <v>553379077</v>
      </c>
      <c r="M91" s="61">
        <v>1017669357</v>
      </c>
      <c r="N91" s="35" t="s">
        <v>73</v>
      </c>
      <c r="O91" s="42" t="s">
        <v>74</v>
      </c>
      <c r="P91" s="35">
        <v>8.4</v>
      </c>
      <c r="Q91" s="35">
        <v>4.0999999999999996</v>
      </c>
      <c r="R91" s="35">
        <f t="shared" ref="R91:R95" si="49">P91*Q91</f>
        <v>34.44</v>
      </c>
      <c r="S91" s="62">
        <v>30000</v>
      </c>
      <c r="T91" s="44">
        <f t="shared" si="47"/>
        <v>3000</v>
      </c>
      <c r="U91" s="63">
        <f t="shared" si="48"/>
        <v>33000</v>
      </c>
      <c r="V91" s="64"/>
      <c r="W91" s="64"/>
      <c r="X91" s="52"/>
      <c r="Y91" s="48">
        <f t="shared" si="38"/>
        <v>0</v>
      </c>
      <c r="Z91" s="69">
        <v>0</v>
      </c>
      <c r="AA91" s="50">
        <f t="shared" si="45"/>
        <v>0</v>
      </c>
      <c r="AB91" s="50"/>
      <c r="AC91" s="52">
        <v>32200</v>
      </c>
      <c r="AD91" s="52">
        <f>S91*1.15-AC91</f>
        <v>2300</v>
      </c>
      <c r="AE91" s="53">
        <f>S91*1.15+X91-AB91-AC91</f>
        <v>2300</v>
      </c>
      <c r="AF91" s="52" t="b">
        <v>0</v>
      </c>
      <c r="AG91" s="52"/>
      <c r="AH91" s="52"/>
      <c r="AI91" s="52"/>
      <c r="AJ91" s="52"/>
      <c r="AK91" s="52"/>
      <c r="AL91" s="52"/>
      <c r="AM91" s="52" t="b">
        <v>0</v>
      </c>
      <c r="AN91" s="52"/>
      <c r="AO91" s="52"/>
      <c r="AP91" s="52"/>
      <c r="AQ91" s="52"/>
      <c r="AR91" s="52"/>
      <c r="AS91" s="52" t="b">
        <v>0</v>
      </c>
      <c r="AT91" s="52"/>
      <c r="AU91" s="52"/>
      <c r="AV91" s="52"/>
      <c r="AW91" s="52"/>
      <c r="AX91" s="52" t="str">
        <f t="shared" si="14"/>
        <v>غير ملتزم</v>
      </c>
      <c r="AY91" s="54" t="s">
        <v>83</v>
      </c>
      <c r="AZ91" s="43"/>
      <c r="BA91" s="55"/>
      <c r="BB91" s="55"/>
      <c r="BC91" s="55"/>
      <c r="BD91" s="54"/>
      <c r="BE91" s="68">
        <v>0</v>
      </c>
      <c r="BF91" s="54"/>
      <c r="BG91" s="54"/>
      <c r="BH91" s="54"/>
      <c r="BI91" s="54" t="s">
        <v>76</v>
      </c>
      <c r="BJ91" s="54">
        <f>(U91+V91+AE91)-BD91-BE91</f>
        <v>35300</v>
      </c>
      <c r="BK91" s="54"/>
    </row>
    <row r="92" spans="1:63" ht="34.5" hidden="1" customHeight="1" x14ac:dyDescent="0.25">
      <c r="A92" s="35">
        <f t="shared" si="26"/>
        <v>49</v>
      </c>
      <c r="B92" s="35" t="s">
        <v>218</v>
      </c>
      <c r="C92" s="105">
        <v>20450524587</v>
      </c>
      <c r="D92" s="37" t="s">
        <v>106</v>
      </c>
      <c r="E92" s="37" t="b">
        <v>0</v>
      </c>
      <c r="F92" s="37"/>
      <c r="G92" s="65">
        <v>46022</v>
      </c>
      <c r="H92" s="35">
        <v>2</v>
      </c>
      <c r="I92" s="35" t="s">
        <v>219</v>
      </c>
      <c r="J92" s="95" t="s">
        <v>220</v>
      </c>
      <c r="K92" s="81">
        <v>7001444665</v>
      </c>
      <c r="L92" s="81">
        <v>553379077</v>
      </c>
      <c r="M92" s="81">
        <v>1017378348</v>
      </c>
      <c r="N92" s="35" t="s">
        <v>73</v>
      </c>
      <c r="O92" s="35" t="s">
        <v>97</v>
      </c>
      <c r="P92" s="35">
        <v>10</v>
      </c>
      <c r="Q92" s="35">
        <v>5</v>
      </c>
      <c r="R92" s="35">
        <f t="shared" si="49"/>
        <v>50</v>
      </c>
      <c r="S92" s="44">
        <v>60000</v>
      </c>
      <c r="T92" s="44">
        <f t="shared" si="47"/>
        <v>6000</v>
      </c>
      <c r="U92" s="63">
        <f t="shared" si="48"/>
        <v>66000</v>
      </c>
      <c r="V92" s="106"/>
      <c r="W92" s="106"/>
      <c r="X92" s="45">
        <v>0</v>
      </c>
      <c r="Y92" s="48">
        <f t="shared" si="38"/>
        <v>0</v>
      </c>
      <c r="Z92" s="50">
        <v>0</v>
      </c>
      <c r="AA92" s="50">
        <v>0</v>
      </c>
      <c r="AB92" s="50"/>
      <c r="AC92" s="52">
        <v>69000</v>
      </c>
      <c r="AD92" s="52">
        <f>S92*1.15-AC92</f>
        <v>0</v>
      </c>
      <c r="AE92" s="53">
        <f>S92*1.15+X92-AB92-AC92</f>
        <v>0</v>
      </c>
      <c r="AF92" s="52" t="b">
        <v>0</v>
      </c>
      <c r="AG92" s="52"/>
      <c r="AH92" s="52"/>
      <c r="AI92" s="52"/>
      <c r="AJ92" s="52"/>
      <c r="AK92" s="52"/>
      <c r="AL92" s="52"/>
      <c r="AM92" s="52" t="b">
        <v>0</v>
      </c>
      <c r="AN92" s="52"/>
      <c r="AO92" s="52"/>
      <c r="AP92" s="52"/>
      <c r="AQ92" s="52"/>
      <c r="AR92" s="52"/>
      <c r="AS92" s="52" t="b">
        <v>0</v>
      </c>
      <c r="AT92" s="52"/>
      <c r="AU92" s="52"/>
      <c r="AV92" s="52"/>
      <c r="AW92" s="52"/>
      <c r="AX92" s="52" t="str">
        <f t="shared" si="14"/>
        <v>ملتزم</v>
      </c>
      <c r="AY92" s="54" t="s">
        <v>77</v>
      </c>
      <c r="AZ92" s="43" t="s">
        <v>107</v>
      </c>
      <c r="BA92" s="135"/>
      <c r="BB92" s="135"/>
      <c r="BC92" s="135"/>
      <c r="BD92" s="54"/>
      <c r="BE92" s="68">
        <v>3900</v>
      </c>
      <c r="BF92" s="54"/>
      <c r="BG92" s="54"/>
      <c r="BH92" s="54"/>
      <c r="BI92" s="54" t="s">
        <v>76</v>
      </c>
      <c r="BJ92" s="54">
        <f>(U92+V92+AE92)-BD92-BE92</f>
        <v>62100</v>
      </c>
      <c r="BK92" s="54"/>
    </row>
    <row r="93" spans="1:63" ht="34.5" hidden="1" customHeight="1" x14ac:dyDescent="0.25">
      <c r="A93" s="35">
        <f t="shared" si="26"/>
        <v>50</v>
      </c>
      <c r="B93" s="35" t="s">
        <v>221</v>
      </c>
      <c r="C93" s="105">
        <v>20598628052</v>
      </c>
      <c r="D93" s="37" t="s">
        <v>106</v>
      </c>
      <c r="E93" s="37" t="b">
        <v>0</v>
      </c>
      <c r="F93" s="37"/>
      <c r="G93" s="113">
        <v>46022</v>
      </c>
      <c r="H93" s="35">
        <v>2</v>
      </c>
      <c r="I93" s="35" t="s">
        <v>222</v>
      </c>
      <c r="J93" s="95" t="s">
        <v>220</v>
      </c>
      <c r="K93" s="81">
        <v>7001444665</v>
      </c>
      <c r="L93" s="81">
        <v>553379077</v>
      </c>
      <c r="M93" s="81">
        <v>1017378348</v>
      </c>
      <c r="N93" s="35" t="s">
        <v>73</v>
      </c>
      <c r="O93" s="35" t="s">
        <v>97</v>
      </c>
      <c r="P93" s="35">
        <v>8.6999999999999993</v>
      </c>
      <c r="Q93" s="35">
        <v>3.55</v>
      </c>
      <c r="R93" s="35">
        <f t="shared" si="49"/>
        <v>30.884999999999994</v>
      </c>
      <c r="S93" s="44">
        <v>60000</v>
      </c>
      <c r="T93" s="44">
        <f>S93*20/100</f>
        <v>12000</v>
      </c>
      <c r="U93" s="63">
        <v>69200</v>
      </c>
      <c r="V93" s="44"/>
      <c r="W93" s="44"/>
      <c r="X93" s="115">
        <v>0</v>
      </c>
      <c r="Y93" s="89">
        <f t="shared" si="38"/>
        <v>0</v>
      </c>
      <c r="Z93" s="91"/>
      <c r="AA93" s="91"/>
      <c r="AB93" s="91"/>
      <c r="AC93" s="54">
        <v>69000</v>
      </c>
      <c r="AD93" s="54">
        <f>S93*1.15-AC93</f>
        <v>0</v>
      </c>
      <c r="AE93" s="53">
        <f>S93*1.15+X93-AB93-AC93</f>
        <v>0</v>
      </c>
      <c r="AF93" s="54" t="b">
        <v>1</v>
      </c>
      <c r="AG93" s="134">
        <v>45667</v>
      </c>
      <c r="AH93" s="54">
        <v>79580</v>
      </c>
      <c r="AI93" s="54" t="s">
        <v>68</v>
      </c>
      <c r="AJ93" s="52" t="s">
        <v>136</v>
      </c>
      <c r="AK93" s="128" t="s">
        <v>223</v>
      </c>
      <c r="AL93" s="128"/>
      <c r="AM93" s="54" t="b">
        <v>0</v>
      </c>
      <c r="AN93" s="117">
        <v>45971</v>
      </c>
      <c r="AO93" s="54">
        <v>79580</v>
      </c>
      <c r="AP93" s="54"/>
      <c r="AQ93" s="54"/>
      <c r="AR93" s="54"/>
      <c r="AS93" s="54" t="b">
        <v>0</v>
      </c>
      <c r="AT93" s="118"/>
      <c r="AU93" s="54"/>
      <c r="AV93" s="54"/>
      <c r="AW93" s="54"/>
      <c r="AX93" s="54" t="str">
        <f t="shared" si="14"/>
        <v>ملتزم</v>
      </c>
      <c r="AY93" s="54" t="s">
        <v>77</v>
      </c>
      <c r="AZ93" s="43" t="s">
        <v>107</v>
      </c>
      <c r="BA93" s="55"/>
      <c r="BB93" s="55"/>
      <c r="BC93" s="55"/>
      <c r="BD93" s="54"/>
      <c r="BE93" s="68"/>
      <c r="BF93" s="54"/>
      <c r="BG93" s="54"/>
      <c r="BH93" s="54"/>
      <c r="BI93" s="54" t="s">
        <v>72</v>
      </c>
      <c r="BJ93" s="54">
        <f>(U93+V93+AE93)-BD93-BE93</f>
        <v>69200</v>
      </c>
      <c r="BK93" s="54"/>
    </row>
    <row r="94" spans="1:63" ht="34.5" hidden="1" customHeight="1" x14ac:dyDescent="0.25">
      <c r="A94" s="35">
        <f t="shared" si="26"/>
        <v>51</v>
      </c>
      <c r="B94" s="35" t="s">
        <v>224</v>
      </c>
      <c r="C94" s="105">
        <v>20957663253</v>
      </c>
      <c r="D94" s="37" t="s">
        <v>106</v>
      </c>
      <c r="E94" s="37" t="b">
        <v>0</v>
      </c>
      <c r="F94" s="37"/>
      <c r="G94" s="65">
        <v>46022</v>
      </c>
      <c r="H94" s="35">
        <v>2</v>
      </c>
      <c r="I94" s="35" t="s">
        <v>225</v>
      </c>
      <c r="J94" s="95" t="s">
        <v>226</v>
      </c>
      <c r="K94" s="87">
        <v>7012348277</v>
      </c>
      <c r="L94" s="87">
        <v>501333440</v>
      </c>
      <c r="M94" s="81">
        <v>1006781494</v>
      </c>
      <c r="N94" s="35" t="s">
        <v>73</v>
      </c>
      <c r="O94" s="35" t="s">
        <v>97</v>
      </c>
      <c r="P94" s="35">
        <v>10.6</v>
      </c>
      <c r="Q94" s="35">
        <v>4.6500000000000004</v>
      </c>
      <c r="R94" s="35">
        <f t="shared" si="49"/>
        <v>49.29</v>
      </c>
      <c r="S94" s="44">
        <v>60000</v>
      </c>
      <c r="T94" s="44">
        <f t="shared" ref="T94:T95" si="50">S94*10/100</f>
        <v>6000</v>
      </c>
      <c r="U94" s="63">
        <f t="shared" ref="U94:U95" si="51">S94+T94</f>
        <v>66000</v>
      </c>
      <c r="V94" s="106"/>
      <c r="W94" s="106"/>
      <c r="X94" s="45">
        <v>0</v>
      </c>
      <c r="Y94" s="48">
        <f t="shared" si="38"/>
        <v>0</v>
      </c>
      <c r="Z94" s="50">
        <v>0</v>
      </c>
      <c r="AA94" s="50">
        <f t="shared" ref="AA94:AA95" si="52">Z94/1.15</f>
        <v>0</v>
      </c>
      <c r="AB94" s="50">
        <v>0</v>
      </c>
      <c r="AC94" s="52">
        <v>69000</v>
      </c>
      <c r="AD94" s="52">
        <f>S94*1.15-AC94</f>
        <v>0</v>
      </c>
      <c r="AE94" s="53">
        <f>S94*1.15+X94-AB94-AC94</f>
        <v>0</v>
      </c>
      <c r="AF94" s="52" t="b">
        <v>0</v>
      </c>
      <c r="AG94" s="52"/>
      <c r="AH94" s="52"/>
      <c r="AI94" s="52"/>
      <c r="AJ94" s="52"/>
      <c r="AK94" s="52"/>
      <c r="AL94" s="52"/>
      <c r="AM94" s="52" t="b">
        <v>0</v>
      </c>
      <c r="AN94" s="52"/>
      <c r="AO94" s="52"/>
      <c r="AP94" s="52"/>
      <c r="AQ94" s="52"/>
      <c r="AR94" s="52"/>
      <c r="AS94" s="52" t="b">
        <v>0</v>
      </c>
      <c r="AT94" s="52"/>
      <c r="AU94" s="52"/>
      <c r="AV94" s="52"/>
      <c r="AW94" s="52"/>
      <c r="AX94" s="52" t="str">
        <f t="shared" si="14"/>
        <v>ملتزم</v>
      </c>
      <c r="AY94" s="54" t="s">
        <v>69</v>
      </c>
      <c r="AZ94" s="43" t="s">
        <v>107</v>
      </c>
      <c r="BA94" s="55"/>
      <c r="BB94" s="55"/>
      <c r="BC94" s="55"/>
      <c r="BD94" s="54"/>
      <c r="BE94" s="68">
        <v>57099</v>
      </c>
      <c r="BF94" s="54"/>
      <c r="BG94" s="54"/>
      <c r="BH94" s="54"/>
      <c r="BI94" s="54" t="s">
        <v>76</v>
      </c>
      <c r="BJ94" s="54">
        <f>(U94+V94+AE94)-BD94-BE94</f>
        <v>8901</v>
      </c>
      <c r="BK94" s="54" t="s">
        <v>79</v>
      </c>
    </row>
    <row r="95" spans="1:63" ht="34.5" hidden="1" customHeight="1" x14ac:dyDescent="0.25">
      <c r="A95" s="35">
        <f t="shared" si="26"/>
        <v>52</v>
      </c>
      <c r="B95" s="35" t="s">
        <v>227</v>
      </c>
      <c r="C95" s="111">
        <v>20284121560</v>
      </c>
      <c r="D95" s="37" t="s">
        <v>106</v>
      </c>
      <c r="E95" s="37" t="b">
        <v>0</v>
      </c>
      <c r="F95" s="37"/>
      <c r="G95" s="65">
        <v>46022</v>
      </c>
      <c r="H95" s="35">
        <v>1</v>
      </c>
      <c r="I95" s="35">
        <v>20</v>
      </c>
      <c r="J95" s="95">
        <v>28283</v>
      </c>
      <c r="K95" s="81">
        <v>7012364357</v>
      </c>
      <c r="L95" s="81">
        <v>556458004</v>
      </c>
      <c r="M95" s="81">
        <v>2174866679</v>
      </c>
      <c r="N95" s="35" t="s">
        <v>64</v>
      </c>
      <c r="O95" s="42" t="s">
        <v>97</v>
      </c>
      <c r="P95" s="35">
        <v>9</v>
      </c>
      <c r="Q95" s="35">
        <v>4.0999999999999996</v>
      </c>
      <c r="R95" s="35">
        <f t="shared" si="49"/>
        <v>36.9</v>
      </c>
      <c r="S95" s="43">
        <v>32000</v>
      </c>
      <c r="T95" s="44">
        <f t="shared" si="50"/>
        <v>3200</v>
      </c>
      <c r="U95" s="63">
        <f t="shared" si="51"/>
        <v>35200</v>
      </c>
      <c r="V95" s="106"/>
      <c r="W95" s="106"/>
      <c r="X95" s="52">
        <v>0</v>
      </c>
      <c r="Y95" s="48">
        <f t="shared" si="38"/>
        <v>0</v>
      </c>
      <c r="Z95" s="69">
        <v>0</v>
      </c>
      <c r="AA95" s="50">
        <f t="shared" si="52"/>
        <v>0</v>
      </c>
      <c r="AB95" s="50"/>
      <c r="AC95" s="52">
        <v>36800</v>
      </c>
      <c r="AD95" s="136">
        <f>S95*1.15-AC95</f>
        <v>0</v>
      </c>
      <c r="AE95" s="53">
        <f>S95*1.15+X95-AB95-AC95</f>
        <v>0</v>
      </c>
      <c r="AF95" s="52" t="b">
        <v>0</v>
      </c>
      <c r="AG95" s="52"/>
      <c r="AH95" s="52"/>
      <c r="AI95" s="52"/>
      <c r="AJ95" s="52"/>
      <c r="AK95" s="52"/>
      <c r="AL95" s="52"/>
      <c r="AM95" s="52" t="b">
        <v>0</v>
      </c>
      <c r="AN95" s="52"/>
      <c r="AO95" s="52"/>
      <c r="AP95" s="52"/>
      <c r="AQ95" s="52"/>
      <c r="AR95" s="52"/>
      <c r="AS95" s="52" t="b">
        <v>0</v>
      </c>
      <c r="AT95" s="52"/>
      <c r="AU95" s="52"/>
      <c r="AV95" s="52"/>
      <c r="AW95" s="52"/>
      <c r="AX95" s="52" t="str">
        <f t="shared" si="14"/>
        <v>ملتزم</v>
      </c>
      <c r="AY95" s="54" t="s">
        <v>77</v>
      </c>
      <c r="AZ95" s="43" t="s">
        <v>107</v>
      </c>
      <c r="BA95" s="55"/>
      <c r="BB95" s="55"/>
      <c r="BC95" s="55"/>
      <c r="BD95" s="54"/>
      <c r="BE95" s="68">
        <v>0</v>
      </c>
      <c r="BF95" s="54"/>
      <c r="BG95" s="54"/>
      <c r="BH95" s="54"/>
      <c r="BI95" s="54" t="s">
        <v>72</v>
      </c>
      <c r="BJ95" s="54">
        <f>(U95+V95+AE95)-BD95-BE95</f>
        <v>35200</v>
      </c>
      <c r="BK95" s="54"/>
    </row>
    <row r="96" spans="1:63" ht="34.5" hidden="1" customHeight="1" x14ac:dyDescent="0.25">
      <c r="A96" s="35"/>
      <c r="B96" s="35" t="s">
        <v>227</v>
      </c>
      <c r="C96" s="35"/>
      <c r="D96" s="37"/>
      <c r="E96" s="37" t="b">
        <v>0</v>
      </c>
      <c r="F96" s="37"/>
      <c r="G96" s="65"/>
      <c r="H96" s="35">
        <v>1</v>
      </c>
      <c r="I96" s="35">
        <v>114</v>
      </c>
      <c r="J96" s="95">
        <v>28283</v>
      </c>
      <c r="K96" s="87">
        <v>7016024023</v>
      </c>
      <c r="L96" s="87">
        <v>556458004</v>
      </c>
      <c r="M96" s="81">
        <v>2174866679</v>
      </c>
      <c r="N96" s="35" t="s">
        <v>64</v>
      </c>
      <c r="O96" s="42" t="s">
        <v>84</v>
      </c>
      <c r="P96" s="35"/>
      <c r="Q96" s="35"/>
      <c r="R96" s="35">
        <v>38</v>
      </c>
      <c r="S96" s="43">
        <v>30000</v>
      </c>
      <c r="T96" s="44"/>
      <c r="U96" s="45"/>
      <c r="V96" s="46">
        <v>35600</v>
      </c>
      <c r="W96" s="46"/>
      <c r="X96" s="88"/>
      <c r="Y96" s="89"/>
      <c r="Z96" s="90"/>
      <c r="AA96" s="91"/>
      <c r="AB96" s="91"/>
      <c r="AC96" s="88"/>
      <c r="AD96" s="54"/>
      <c r="AE96" s="53"/>
      <c r="AF96" s="54" t="b">
        <v>0</v>
      </c>
      <c r="AG96" s="54"/>
      <c r="AH96" s="54"/>
      <c r="AI96" s="54"/>
      <c r="AJ96" s="54"/>
      <c r="AK96" s="54"/>
      <c r="AL96" s="54"/>
      <c r="AM96" s="54" t="b">
        <v>0</v>
      </c>
      <c r="AN96" s="134"/>
      <c r="AO96" s="54"/>
      <c r="AP96" s="54"/>
      <c r="AQ96" s="54"/>
      <c r="AR96" s="54"/>
      <c r="AS96" s="54" t="b">
        <v>0</v>
      </c>
      <c r="AT96" s="54"/>
      <c r="AU96" s="54"/>
      <c r="AV96" s="54"/>
      <c r="AW96" s="54"/>
      <c r="AX96" s="54"/>
      <c r="AY96" s="54"/>
      <c r="AZ96" s="43"/>
      <c r="BA96" s="70"/>
      <c r="BB96" s="70"/>
      <c r="BC96" s="70"/>
      <c r="BD96" s="54"/>
      <c r="BE96" s="54"/>
      <c r="BF96" s="54"/>
      <c r="BG96" s="54"/>
      <c r="BH96" s="54"/>
      <c r="BI96" s="54"/>
      <c r="BJ96" s="54"/>
      <c r="BK96" s="54"/>
    </row>
    <row r="97" spans="1:63" ht="34.5" hidden="1" customHeight="1" x14ac:dyDescent="0.25">
      <c r="A97" s="35">
        <f t="shared" ref="A97:A113" si="53">1+A96</f>
        <v>1</v>
      </c>
      <c r="B97" s="35" t="s">
        <v>227</v>
      </c>
      <c r="C97" s="35">
        <v>20691304687</v>
      </c>
      <c r="D97" s="37" t="s">
        <v>100</v>
      </c>
      <c r="E97" s="37" t="b">
        <v>0</v>
      </c>
      <c r="F97" s="37"/>
      <c r="G97" s="65">
        <v>45657</v>
      </c>
      <c r="H97" s="35">
        <v>1</v>
      </c>
      <c r="I97" s="35">
        <v>115</v>
      </c>
      <c r="J97" s="95">
        <v>28283</v>
      </c>
      <c r="K97" s="87">
        <v>7016024023</v>
      </c>
      <c r="L97" s="87">
        <v>556458004</v>
      </c>
      <c r="M97" s="81">
        <v>2174866679</v>
      </c>
      <c r="N97" s="35" t="s">
        <v>64</v>
      </c>
      <c r="O97" s="42" t="s">
        <v>84</v>
      </c>
      <c r="P97" s="35">
        <v>9.1999999999999993</v>
      </c>
      <c r="Q97" s="35">
        <v>8.1999999999999993</v>
      </c>
      <c r="R97" s="35">
        <v>38</v>
      </c>
      <c r="S97" s="43">
        <v>30000</v>
      </c>
      <c r="T97" s="44"/>
      <c r="U97" s="45"/>
      <c r="V97" s="46">
        <v>35600</v>
      </c>
      <c r="W97" s="46"/>
      <c r="X97" s="88">
        <v>0</v>
      </c>
      <c r="Y97" s="89">
        <f t="shared" ref="Y97:Y192" si="54">X97/1.15</f>
        <v>0</v>
      </c>
      <c r="Z97" s="90">
        <v>0</v>
      </c>
      <c r="AA97" s="91">
        <f>Z97/1.15</f>
        <v>0</v>
      </c>
      <c r="AB97" s="91"/>
      <c r="AC97" s="88">
        <v>69000</v>
      </c>
      <c r="AD97" s="54">
        <f>S97*1.15-AC97</f>
        <v>-34500</v>
      </c>
      <c r="AE97" s="53">
        <f>S97*1.15+X97-AB97-AC97</f>
        <v>-34500</v>
      </c>
      <c r="AF97" s="54" t="b">
        <v>1</v>
      </c>
      <c r="AG97" s="54" t="s">
        <v>67</v>
      </c>
      <c r="AH97" s="54">
        <v>81880</v>
      </c>
      <c r="AI97" s="54" t="s">
        <v>68</v>
      </c>
      <c r="AJ97" s="52" t="s">
        <v>136</v>
      </c>
      <c r="AK97" s="128" t="s">
        <v>228</v>
      </c>
      <c r="AL97" s="128"/>
      <c r="AM97" s="54" t="b">
        <v>0</v>
      </c>
      <c r="AN97" s="117">
        <v>45971</v>
      </c>
      <c r="AO97" s="54">
        <v>81880</v>
      </c>
      <c r="AP97" s="54"/>
      <c r="AQ97" s="54"/>
      <c r="AR97" s="54"/>
      <c r="AS97" s="54" t="b">
        <v>0</v>
      </c>
      <c r="AT97" s="118"/>
      <c r="AU97" s="54"/>
      <c r="AV97" s="54"/>
      <c r="AW97" s="54"/>
      <c r="AX97" s="54" t="str">
        <f t="shared" ref="AX97:AX192" si="55">IF(AE97&lt;=0,"ملتزم","غير ملتزم")</f>
        <v>ملتزم</v>
      </c>
      <c r="AY97" s="54" t="s">
        <v>69</v>
      </c>
      <c r="AZ97" s="43" t="s">
        <v>86</v>
      </c>
      <c r="BA97" s="70"/>
      <c r="BB97" s="70"/>
      <c r="BC97" s="70"/>
      <c r="BD97" s="54"/>
      <c r="BE97" s="54"/>
      <c r="BF97" s="54"/>
      <c r="BG97" s="54"/>
      <c r="BH97" s="54"/>
      <c r="BI97" s="54" t="s">
        <v>72</v>
      </c>
      <c r="BJ97" s="54">
        <f>(U97+V97+AE97)-BD97-BE97</f>
        <v>1100</v>
      </c>
      <c r="BK97" s="54"/>
    </row>
    <row r="98" spans="1:63" ht="34.5" hidden="1" customHeight="1" x14ac:dyDescent="0.25">
      <c r="A98" s="35">
        <f t="shared" si="53"/>
        <v>2</v>
      </c>
      <c r="B98" s="35" t="s">
        <v>229</v>
      </c>
      <c r="C98" s="105">
        <v>20290813857</v>
      </c>
      <c r="D98" s="37" t="s">
        <v>106</v>
      </c>
      <c r="E98" s="37" t="b">
        <v>0</v>
      </c>
      <c r="F98" s="37"/>
      <c r="G98" s="113">
        <v>46022</v>
      </c>
      <c r="H98" s="35">
        <v>1</v>
      </c>
      <c r="I98" s="35">
        <v>250</v>
      </c>
      <c r="J98" s="95" t="s">
        <v>230</v>
      </c>
      <c r="K98" s="81">
        <v>7049177798</v>
      </c>
      <c r="L98" s="81">
        <v>503663775</v>
      </c>
      <c r="M98" s="81">
        <v>1021818495</v>
      </c>
      <c r="N98" s="35" t="s">
        <v>73</v>
      </c>
      <c r="O98" s="35" t="s">
        <v>97</v>
      </c>
      <c r="P98" s="35">
        <v>4</v>
      </c>
      <c r="Q98" s="35">
        <v>4</v>
      </c>
      <c r="R98" s="35">
        <f t="shared" ref="R98:R110" si="56">P98*Q98</f>
        <v>16</v>
      </c>
      <c r="S98" s="44">
        <v>34000</v>
      </c>
      <c r="T98" s="44">
        <f t="shared" ref="T98:T101" si="57">S98*10/100</f>
        <v>3400</v>
      </c>
      <c r="U98" s="63">
        <f>S98+T98+200</f>
        <v>37600</v>
      </c>
      <c r="V98" s="44"/>
      <c r="W98" s="44"/>
      <c r="X98" s="115">
        <v>0</v>
      </c>
      <c r="Y98" s="89">
        <f t="shared" si="54"/>
        <v>0</v>
      </c>
      <c r="Z98" s="91">
        <v>0</v>
      </c>
      <c r="AA98" s="91">
        <v>0</v>
      </c>
      <c r="AB98" s="91"/>
      <c r="AC98" s="54">
        <v>39100</v>
      </c>
      <c r="AD98" s="54">
        <f>S98*1.15-AC98</f>
        <v>0</v>
      </c>
      <c r="AE98" s="53">
        <v>0</v>
      </c>
      <c r="AF98" s="54" t="b">
        <v>1</v>
      </c>
      <c r="AG98" s="134">
        <v>45667</v>
      </c>
      <c r="AH98" s="54">
        <v>21620</v>
      </c>
      <c r="AI98" s="54" t="s">
        <v>68</v>
      </c>
      <c r="AJ98" s="52" t="s">
        <v>136</v>
      </c>
      <c r="AK98" s="128" t="s">
        <v>231</v>
      </c>
      <c r="AL98" s="128"/>
      <c r="AM98" s="54" t="b">
        <v>0</v>
      </c>
      <c r="AN98" s="117">
        <v>45971</v>
      </c>
      <c r="AO98" s="54">
        <v>21620</v>
      </c>
      <c r="AP98" s="54"/>
      <c r="AQ98" s="54"/>
      <c r="AR98" s="54"/>
      <c r="AS98" s="54" t="b">
        <v>0</v>
      </c>
      <c r="AT98" s="118"/>
      <c r="AU98" s="54"/>
      <c r="AV98" s="54"/>
      <c r="AW98" s="54"/>
      <c r="AX98" s="54" t="str">
        <f t="shared" si="55"/>
        <v>ملتزم</v>
      </c>
      <c r="AY98" s="54" t="s">
        <v>77</v>
      </c>
      <c r="AZ98" s="43" t="s">
        <v>107</v>
      </c>
      <c r="BA98" s="55"/>
      <c r="BB98" s="55"/>
      <c r="BC98" s="55"/>
      <c r="BD98" s="54"/>
      <c r="BE98" s="68">
        <v>21620</v>
      </c>
      <c r="BF98" s="54"/>
      <c r="BG98" s="54"/>
      <c r="BH98" s="54"/>
      <c r="BI98" s="52" t="s">
        <v>72</v>
      </c>
      <c r="BJ98" s="54">
        <f>(U98+V98+AE98)-BD98-BE98</f>
        <v>15980</v>
      </c>
      <c r="BK98" s="54"/>
    </row>
    <row r="99" spans="1:63" ht="34.5" hidden="1" customHeight="1" x14ac:dyDescent="0.25">
      <c r="A99" s="35">
        <f t="shared" si="53"/>
        <v>3</v>
      </c>
      <c r="B99" s="35" t="s">
        <v>232</v>
      </c>
      <c r="C99" s="35"/>
      <c r="D99" s="37" t="s">
        <v>100</v>
      </c>
      <c r="E99" s="37" t="b">
        <v>0</v>
      </c>
      <c r="F99" s="37"/>
      <c r="G99" s="65"/>
      <c r="H99" s="35">
        <v>1</v>
      </c>
      <c r="I99" s="35">
        <v>123</v>
      </c>
      <c r="J99" s="95">
        <v>31814</v>
      </c>
      <c r="K99" s="81">
        <v>7004176694</v>
      </c>
      <c r="L99" s="81">
        <v>530917409</v>
      </c>
      <c r="M99" s="81">
        <v>2024187391</v>
      </c>
      <c r="N99" s="35" t="s">
        <v>64</v>
      </c>
      <c r="O99" s="42" t="s">
        <v>84</v>
      </c>
      <c r="P99" s="35">
        <v>8</v>
      </c>
      <c r="Q99" s="35">
        <v>8.5</v>
      </c>
      <c r="R99" s="35">
        <f t="shared" si="56"/>
        <v>68</v>
      </c>
      <c r="S99" s="43">
        <v>30000</v>
      </c>
      <c r="T99" s="44">
        <f t="shared" si="57"/>
        <v>3000</v>
      </c>
      <c r="U99" s="63">
        <f t="shared" ref="U99:U101" si="58">S99+T99</f>
        <v>33000</v>
      </c>
      <c r="V99" s="46">
        <v>35500</v>
      </c>
      <c r="W99" s="46"/>
      <c r="X99" s="51">
        <v>0</v>
      </c>
      <c r="Y99" s="48">
        <f t="shared" si="54"/>
        <v>0</v>
      </c>
      <c r="Z99" s="49">
        <v>0</v>
      </c>
      <c r="AA99" s="50">
        <v>0</v>
      </c>
      <c r="AB99" s="50">
        <v>0</v>
      </c>
      <c r="AC99" s="51">
        <v>25875</v>
      </c>
      <c r="AD99" s="52">
        <f>S99*1.15-AC99</f>
        <v>8625</v>
      </c>
      <c r="AE99" s="53">
        <f>S99*1.15+X99-AB99-AC99</f>
        <v>8625</v>
      </c>
      <c r="AF99" s="52" t="b">
        <v>0</v>
      </c>
      <c r="AG99" s="52"/>
      <c r="AH99" s="52"/>
      <c r="AI99" s="52"/>
      <c r="AJ99" s="52"/>
      <c r="AK99" s="52"/>
      <c r="AL99" s="52"/>
      <c r="AM99" s="52" t="b">
        <v>0</v>
      </c>
      <c r="AN99" s="52"/>
      <c r="AO99" s="52"/>
      <c r="AP99" s="52"/>
      <c r="AQ99" s="52"/>
      <c r="AR99" s="52"/>
      <c r="AS99" s="52" t="b">
        <v>0</v>
      </c>
      <c r="AT99" s="52"/>
      <c r="AU99" s="52"/>
      <c r="AV99" s="52"/>
      <c r="AW99" s="52"/>
      <c r="AX99" s="52" t="str">
        <f t="shared" si="55"/>
        <v>غير ملتزم</v>
      </c>
      <c r="AY99" s="54" t="s">
        <v>69</v>
      </c>
      <c r="AZ99" s="43" t="s">
        <v>70</v>
      </c>
      <c r="BA99" s="55" t="s">
        <v>71</v>
      </c>
      <c r="BB99" s="55"/>
      <c r="BC99" s="55"/>
      <c r="BD99" s="54"/>
      <c r="BE99" s="54"/>
      <c r="BF99" s="54"/>
      <c r="BG99" s="54"/>
      <c r="BH99" s="54"/>
      <c r="BI99" s="54" t="s">
        <v>76</v>
      </c>
      <c r="BJ99" s="54">
        <f>(U99+V99+AE99)-BD99-BE99</f>
        <v>77125</v>
      </c>
      <c r="BK99" s="54"/>
    </row>
    <row r="100" spans="1:63" ht="34.5" hidden="1" customHeight="1" x14ac:dyDescent="0.25">
      <c r="A100" s="35">
        <f t="shared" si="53"/>
        <v>4</v>
      </c>
      <c r="B100" s="35" t="s">
        <v>233</v>
      </c>
      <c r="C100" s="35">
        <v>20560693305</v>
      </c>
      <c r="D100" s="37" t="s">
        <v>106</v>
      </c>
      <c r="E100" s="37" t="b">
        <v>0</v>
      </c>
      <c r="F100" s="37"/>
      <c r="G100" s="65">
        <v>46022</v>
      </c>
      <c r="H100" s="35">
        <v>1</v>
      </c>
      <c r="I100" s="35" t="s">
        <v>234</v>
      </c>
      <c r="J100" s="95">
        <v>33385</v>
      </c>
      <c r="K100" s="87">
        <v>7004176694</v>
      </c>
      <c r="L100" s="87">
        <v>509521610</v>
      </c>
      <c r="M100" s="81">
        <v>2062439217</v>
      </c>
      <c r="N100" s="35" t="s">
        <v>64</v>
      </c>
      <c r="O100" s="42" t="s">
        <v>214</v>
      </c>
      <c r="P100" s="35">
        <v>16</v>
      </c>
      <c r="Q100" s="35">
        <v>12</v>
      </c>
      <c r="R100" s="35">
        <f t="shared" si="56"/>
        <v>192</v>
      </c>
      <c r="S100" s="43">
        <v>42000</v>
      </c>
      <c r="T100" s="44">
        <f t="shared" si="57"/>
        <v>4200</v>
      </c>
      <c r="U100" s="63">
        <f t="shared" si="58"/>
        <v>46200</v>
      </c>
      <c r="V100" s="106"/>
      <c r="W100" s="106"/>
      <c r="X100" s="52">
        <v>0</v>
      </c>
      <c r="Y100" s="48">
        <f t="shared" si="54"/>
        <v>0</v>
      </c>
      <c r="Z100" s="69">
        <v>0</v>
      </c>
      <c r="AA100" s="50">
        <f t="shared" ref="AA100:AA121" si="59">Z100/1.15</f>
        <v>0</v>
      </c>
      <c r="AB100" s="50"/>
      <c r="AC100" s="52">
        <v>48300</v>
      </c>
      <c r="AD100" s="52">
        <f>S100*1.15-AC100</f>
        <v>0</v>
      </c>
      <c r="AE100" s="53">
        <f>S100*1.15+X100-AB100-AC100</f>
        <v>0</v>
      </c>
      <c r="AF100" s="52" t="b">
        <v>0</v>
      </c>
      <c r="AG100" s="52"/>
      <c r="AH100" s="52"/>
      <c r="AI100" s="52"/>
      <c r="AJ100" s="52"/>
      <c r="AK100" s="52"/>
      <c r="AL100" s="52"/>
      <c r="AM100" s="52" t="b">
        <v>0</v>
      </c>
      <c r="AN100" s="52"/>
      <c r="AO100" s="52"/>
      <c r="AP100" s="52"/>
      <c r="AQ100" s="52"/>
      <c r="AR100" s="52"/>
      <c r="AS100" s="52" t="b">
        <v>0</v>
      </c>
      <c r="AT100" s="52"/>
      <c r="AU100" s="52"/>
      <c r="AV100" s="52"/>
      <c r="AW100" s="52"/>
      <c r="AX100" s="52" t="str">
        <f t="shared" si="55"/>
        <v>ملتزم</v>
      </c>
      <c r="AY100" s="54" t="s">
        <v>69</v>
      </c>
      <c r="AZ100" s="43" t="s">
        <v>107</v>
      </c>
      <c r="BA100" s="55"/>
      <c r="BB100" s="55"/>
      <c r="BC100" s="55"/>
      <c r="BD100" s="54"/>
      <c r="BE100" s="54"/>
      <c r="BF100" s="54"/>
      <c r="BG100" s="54"/>
      <c r="BH100" s="54"/>
      <c r="BI100" s="54" t="s">
        <v>72</v>
      </c>
      <c r="BJ100" s="54">
        <f>(U100+V100+AE100)-BD100-BE100</f>
        <v>46200</v>
      </c>
      <c r="BK100" s="54"/>
    </row>
    <row r="101" spans="1:63" ht="34.5" hidden="1" customHeight="1" x14ac:dyDescent="0.25">
      <c r="A101" s="35">
        <f t="shared" si="53"/>
        <v>5</v>
      </c>
      <c r="B101" s="35" t="s">
        <v>235</v>
      </c>
      <c r="C101" s="111">
        <v>20000974421</v>
      </c>
      <c r="D101" s="37" t="s">
        <v>106</v>
      </c>
      <c r="E101" s="37" t="b">
        <v>0</v>
      </c>
      <c r="F101" s="37"/>
      <c r="G101" s="65">
        <v>46022</v>
      </c>
      <c r="H101" s="35">
        <v>1</v>
      </c>
      <c r="I101" s="35">
        <v>33</v>
      </c>
      <c r="J101" s="95">
        <v>28623</v>
      </c>
      <c r="K101" s="87">
        <v>7013767558</v>
      </c>
      <c r="L101" s="87">
        <v>541207442</v>
      </c>
      <c r="M101" s="81">
        <v>2176489975</v>
      </c>
      <c r="N101" s="35" t="s">
        <v>64</v>
      </c>
      <c r="O101" s="42" t="s">
        <v>97</v>
      </c>
      <c r="P101" s="35">
        <v>6.25</v>
      </c>
      <c r="Q101" s="35">
        <v>4.3</v>
      </c>
      <c r="R101" s="35">
        <f t="shared" si="56"/>
        <v>26.875</v>
      </c>
      <c r="S101" s="43">
        <v>32000</v>
      </c>
      <c r="T101" s="44">
        <f t="shared" si="57"/>
        <v>3200</v>
      </c>
      <c r="U101" s="63">
        <f t="shared" si="58"/>
        <v>35200</v>
      </c>
      <c r="V101" s="106"/>
      <c r="W101" s="106"/>
      <c r="X101" s="52">
        <v>0</v>
      </c>
      <c r="Y101" s="48">
        <f t="shared" si="54"/>
        <v>0</v>
      </c>
      <c r="Z101" s="69">
        <v>0</v>
      </c>
      <c r="AA101" s="50">
        <f t="shared" si="59"/>
        <v>0</v>
      </c>
      <c r="AB101" s="50"/>
      <c r="AC101" s="52">
        <v>36800</v>
      </c>
      <c r="AD101" s="52">
        <f>S101*1.15-AC101</f>
        <v>0</v>
      </c>
      <c r="AE101" s="53">
        <f>S101*1.15+X101-AB101-AC101</f>
        <v>0</v>
      </c>
      <c r="AF101" s="52" t="b">
        <v>0</v>
      </c>
      <c r="AG101" s="52"/>
      <c r="AH101" s="52"/>
      <c r="AI101" s="52"/>
      <c r="AJ101" s="52"/>
      <c r="AK101" s="52"/>
      <c r="AL101" s="52"/>
      <c r="AM101" s="52" t="b">
        <v>0</v>
      </c>
      <c r="AN101" s="52"/>
      <c r="AO101" s="52"/>
      <c r="AP101" s="52"/>
      <c r="AQ101" s="52"/>
      <c r="AR101" s="52"/>
      <c r="AS101" s="52" t="b">
        <v>0</v>
      </c>
      <c r="AT101" s="52"/>
      <c r="AU101" s="52"/>
      <c r="AV101" s="52"/>
      <c r="AW101" s="52"/>
      <c r="AX101" s="52" t="str">
        <f t="shared" si="55"/>
        <v>ملتزم</v>
      </c>
      <c r="AY101" s="54" t="s">
        <v>69</v>
      </c>
      <c r="AZ101" s="43" t="s">
        <v>107</v>
      </c>
      <c r="BA101" s="55"/>
      <c r="BB101" s="55"/>
      <c r="BC101" s="55"/>
      <c r="BD101" s="54"/>
      <c r="BE101" s="68">
        <v>0</v>
      </c>
      <c r="BF101" s="54"/>
      <c r="BG101" s="54"/>
      <c r="BH101" s="54"/>
      <c r="BI101" s="54" t="s">
        <v>72</v>
      </c>
      <c r="BJ101" s="54">
        <f>(U101+V101+AE101)-BD101-BE101</f>
        <v>35200</v>
      </c>
      <c r="BK101" s="54"/>
    </row>
    <row r="102" spans="1:63" ht="34.5" hidden="1" customHeight="1" x14ac:dyDescent="0.25">
      <c r="A102" s="35">
        <f t="shared" si="53"/>
        <v>6</v>
      </c>
      <c r="B102" s="35" t="s">
        <v>236</v>
      </c>
      <c r="C102" s="35">
        <v>20218294222</v>
      </c>
      <c r="D102" s="37" t="s">
        <v>106</v>
      </c>
      <c r="E102" s="37" t="b">
        <v>0</v>
      </c>
      <c r="F102" s="37"/>
      <c r="G102" s="38">
        <v>46022</v>
      </c>
      <c r="H102" s="35">
        <v>1</v>
      </c>
      <c r="I102" s="35" t="s">
        <v>237</v>
      </c>
      <c r="J102" s="110">
        <v>24844</v>
      </c>
      <c r="K102" s="87">
        <v>7010381619</v>
      </c>
      <c r="L102" s="87">
        <v>505662247</v>
      </c>
      <c r="M102" s="81">
        <v>2027114277</v>
      </c>
      <c r="N102" s="35" t="s">
        <v>64</v>
      </c>
      <c r="O102" s="42" t="s">
        <v>214</v>
      </c>
      <c r="P102" s="35">
        <v>33.5</v>
      </c>
      <c r="Q102" s="35">
        <v>16</v>
      </c>
      <c r="R102" s="35">
        <f t="shared" si="56"/>
        <v>536</v>
      </c>
      <c r="S102" s="43">
        <v>100000</v>
      </c>
      <c r="T102" s="44">
        <v>30000</v>
      </c>
      <c r="U102" s="63">
        <v>130200</v>
      </c>
      <c r="V102" s="106"/>
      <c r="W102" s="106"/>
      <c r="X102" s="52">
        <v>0</v>
      </c>
      <c r="Y102" s="48">
        <f t="shared" si="54"/>
        <v>0</v>
      </c>
      <c r="Z102" s="69">
        <v>0</v>
      </c>
      <c r="AA102" s="50">
        <f t="shared" si="59"/>
        <v>0</v>
      </c>
      <c r="AB102" s="50">
        <v>0</v>
      </c>
      <c r="AC102" s="52">
        <v>115000</v>
      </c>
      <c r="AD102" s="52">
        <f>S102*1.15-AC102</f>
        <v>0</v>
      </c>
      <c r="AE102" s="53"/>
      <c r="AF102" s="52" t="b">
        <v>0</v>
      </c>
      <c r="AG102" s="52"/>
      <c r="AH102" s="52"/>
      <c r="AI102" s="52"/>
      <c r="AJ102" s="52"/>
      <c r="AK102" s="52"/>
      <c r="AL102" s="52"/>
      <c r="AM102" s="52" t="b">
        <v>0</v>
      </c>
      <c r="AN102" s="52"/>
      <c r="AO102" s="52"/>
      <c r="AP102" s="52"/>
      <c r="AQ102" s="52"/>
      <c r="AR102" s="52"/>
      <c r="AS102" s="52" t="b">
        <v>0</v>
      </c>
      <c r="AT102" s="52"/>
      <c r="AU102" s="52"/>
      <c r="AV102" s="52"/>
      <c r="AW102" s="52"/>
      <c r="AX102" s="52" t="str">
        <f t="shared" si="55"/>
        <v>ملتزم</v>
      </c>
      <c r="AY102" s="52" t="s">
        <v>69</v>
      </c>
      <c r="AZ102" s="43" t="s">
        <v>107</v>
      </c>
      <c r="BA102" s="55"/>
      <c r="BB102" s="55"/>
      <c r="BC102" s="55"/>
      <c r="BD102" s="52"/>
      <c r="BE102" s="52"/>
      <c r="BF102" s="52"/>
      <c r="BG102" s="52"/>
      <c r="BH102" s="52"/>
      <c r="BI102" s="54" t="s">
        <v>72</v>
      </c>
      <c r="BJ102" s="54">
        <f>(U102+V102+AE102)-BD102-BE102</f>
        <v>130200</v>
      </c>
      <c r="BK102" s="52"/>
    </row>
    <row r="103" spans="1:63" ht="34.5" hidden="1" customHeight="1" x14ac:dyDescent="0.25">
      <c r="A103" s="35">
        <f t="shared" si="53"/>
        <v>7</v>
      </c>
      <c r="B103" s="35" t="s">
        <v>238</v>
      </c>
      <c r="C103" s="111">
        <v>20693890562</v>
      </c>
      <c r="D103" s="37" t="s">
        <v>106</v>
      </c>
      <c r="E103" s="37" t="b">
        <v>0</v>
      </c>
      <c r="F103" s="37"/>
      <c r="G103" s="65">
        <v>46022</v>
      </c>
      <c r="H103" s="35">
        <v>1</v>
      </c>
      <c r="I103" s="137">
        <v>6</v>
      </c>
      <c r="J103" s="138" t="s">
        <v>239</v>
      </c>
      <c r="K103" s="139">
        <v>7026320767</v>
      </c>
      <c r="L103" s="87">
        <v>553425942</v>
      </c>
      <c r="M103" s="81">
        <v>2328329723</v>
      </c>
      <c r="N103" s="35" t="s">
        <v>64</v>
      </c>
      <c r="O103" s="42" t="s">
        <v>97</v>
      </c>
      <c r="P103" s="35">
        <v>8.3800000000000008</v>
      </c>
      <c r="Q103" s="35">
        <v>3.4</v>
      </c>
      <c r="R103" s="35">
        <f t="shared" si="56"/>
        <v>28.492000000000001</v>
      </c>
      <c r="S103" s="43">
        <v>60000</v>
      </c>
      <c r="T103" s="44">
        <f t="shared" ref="T103:T104" si="60">S103*20/100</f>
        <v>12000</v>
      </c>
      <c r="U103" s="63">
        <f t="shared" ref="U103:U116" si="61">S103+T103</f>
        <v>72000</v>
      </c>
      <c r="V103" s="140"/>
      <c r="W103" s="140"/>
      <c r="X103" s="52">
        <v>0</v>
      </c>
      <c r="Y103" s="48">
        <f t="shared" si="54"/>
        <v>0</v>
      </c>
      <c r="Z103" s="69">
        <v>0</v>
      </c>
      <c r="AA103" s="50">
        <f t="shared" si="59"/>
        <v>0</v>
      </c>
      <c r="AB103" s="50"/>
      <c r="AC103" s="52">
        <v>69000</v>
      </c>
      <c r="AD103" s="52">
        <f>S103*1.15-AC103</f>
        <v>0</v>
      </c>
      <c r="AE103" s="53">
        <f>S103*1.15+X103-AB103-AC103</f>
        <v>0</v>
      </c>
      <c r="AF103" s="52" t="b">
        <v>0</v>
      </c>
      <c r="AG103" s="52"/>
      <c r="AH103" s="52"/>
      <c r="AI103" s="52"/>
      <c r="AJ103" s="52"/>
      <c r="AK103" s="52"/>
      <c r="AL103" s="52"/>
      <c r="AM103" s="52" t="b">
        <v>0</v>
      </c>
      <c r="AN103" s="52"/>
      <c r="AO103" s="52"/>
      <c r="AP103" s="52"/>
      <c r="AQ103" s="52"/>
      <c r="AR103" s="52"/>
      <c r="AS103" s="52" t="b">
        <v>0</v>
      </c>
      <c r="AT103" s="52"/>
      <c r="AU103" s="52"/>
      <c r="AV103" s="52"/>
      <c r="AW103" s="52"/>
      <c r="AX103" s="52" t="str">
        <f t="shared" si="55"/>
        <v>ملتزم</v>
      </c>
      <c r="AY103" s="54" t="s">
        <v>69</v>
      </c>
      <c r="AZ103" s="43" t="s">
        <v>107</v>
      </c>
      <c r="BA103" s="55"/>
      <c r="BB103" s="55"/>
      <c r="BC103" s="55"/>
      <c r="BD103" s="54"/>
      <c r="BE103" s="68">
        <v>41400</v>
      </c>
      <c r="BF103" s="54"/>
      <c r="BG103" s="54"/>
      <c r="BH103" s="54"/>
      <c r="BI103" s="54" t="s">
        <v>72</v>
      </c>
      <c r="BJ103" s="54">
        <f>(U103+V103+AE103)-BD103-BE103</f>
        <v>30600</v>
      </c>
      <c r="BK103" s="54" t="s">
        <v>79</v>
      </c>
    </row>
    <row r="104" spans="1:63" ht="34.5" hidden="1" customHeight="1" x14ac:dyDescent="0.25">
      <c r="A104" s="35">
        <f t="shared" si="53"/>
        <v>8</v>
      </c>
      <c r="B104" s="35" t="s">
        <v>240</v>
      </c>
      <c r="C104" s="111">
        <v>20764400155</v>
      </c>
      <c r="D104" s="37" t="s">
        <v>106</v>
      </c>
      <c r="E104" s="37" t="b">
        <v>0</v>
      </c>
      <c r="F104" s="37"/>
      <c r="G104" s="65">
        <v>46022</v>
      </c>
      <c r="H104" s="35">
        <v>1</v>
      </c>
      <c r="I104" s="35">
        <v>17</v>
      </c>
      <c r="J104" s="81"/>
      <c r="K104" s="87">
        <v>7004108846</v>
      </c>
      <c r="L104" s="87">
        <v>566436619</v>
      </c>
      <c r="M104" s="81">
        <v>2156099075</v>
      </c>
      <c r="N104" s="35" t="s">
        <v>64</v>
      </c>
      <c r="O104" s="42" t="s">
        <v>97</v>
      </c>
      <c r="P104" s="35">
        <v>6</v>
      </c>
      <c r="Q104" s="35">
        <v>5.72</v>
      </c>
      <c r="R104" s="35">
        <f t="shared" si="56"/>
        <v>34.32</v>
      </c>
      <c r="S104" s="43">
        <v>50000</v>
      </c>
      <c r="T104" s="44">
        <f t="shared" si="60"/>
        <v>10000</v>
      </c>
      <c r="U104" s="63">
        <f t="shared" si="61"/>
        <v>60000</v>
      </c>
      <c r="V104" s="106"/>
      <c r="W104" s="106"/>
      <c r="X104" s="52">
        <v>0</v>
      </c>
      <c r="Y104" s="48">
        <f t="shared" si="54"/>
        <v>0</v>
      </c>
      <c r="Z104" s="69">
        <v>0</v>
      </c>
      <c r="AA104" s="50">
        <f t="shared" si="59"/>
        <v>0</v>
      </c>
      <c r="AB104" s="50"/>
      <c r="AC104" s="52">
        <v>57500</v>
      </c>
      <c r="AD104" s="52">
        <f>S104*1.15-AC104</f>
        <v>0</v>
      </c>
      <c r="AE104" s="52">
        <f>S104*1.15+X104-AB104-AC104</f>
        <v>0</v>
      </c>
      <c r="AF104" s="52" t="b">
        <v>0</v>
      </c>
      <c r="AG104" s="52"/>
      <c r="AH104" s="52"/>
      <c r="AI104" s="52"/>
      <c r="AJ104" s="52"/>
      <c r="AK104" s="52"/>
      <c r="AL104" s="52"/>
      <c r="AM104" s="52" t="b">
        <v>0</v>
      </c>
      <c r="AN104" s="52"/>
      <c r="AO104" s="52"/>
      <c r="AP104" s="52"/>
      <c r="AQ104" s="52"/>
      <c r="AR104" s="52"/>
      <c r="AS104" s="52" t="b">
        <v>0</v>
      </c>
      <c r="AT104" s="52"/>
      <c r="AU104" s="52"/>
      <c r="AV104" s="52"/>
      <c r="AW104" s="52"/>
      <c r="AX104" s="52" t="str">
        <f t="shared" si="55"/>
        <v>ملتزم</v>
      </c>
      <c r="AY104" s="54" t="s">
        <v>69</v>
      </c>
      <c r="AZ104" s="43" t="s">
        <v>107</v>
      </c>
      <c r="BA104" s="55"/>
      <c r="BB104" s="55"/>
      <c r="BC104" s="55"/>
      <c r="BD104" s="54"/>
      <c r="BE104" s="68">
        <v>51921</v>
      </c>
      <c r="BF104" s="54"/>
      <c r="BG104" s="54"/>
      <c r="BH104" s="54"/>
      <c r="BI104" s="54" t="s">
        <v>112</v>
      </c>
      <c r="BJ104" s="54">
        <f>(U104+V104+AE104)-BD104-BE104</f>
        <v>8079</v>
      </c>
      <c r="BK104" s="54" t="s">
        <v>113</v>
      </c>
    </row>
    <row r="105" spans="1:63" ht="34.5" hidden="1" customHeight="1" x14ac:dyDescent="0.25">
      <c r="A105" s="35">
        <f t="shared" si="53"/>
        <v>9</v>
      </c>
      <c r="B105" s="35" t="s">
        <v>241</v>
      </c>
      <c r="C105" s="35"/>
      <c r="D105" s="37" t="s">
        <v>100</v>
      </c>
      <c r="E105" s="37" t="b">
        <v>0</v>
      </c>
      <c r="F105" s="37"/>
      <c r="G105" s="65">
        <v>45657</v>
      </c>
      <c r="H105" s="35">
        <v>2</v>
      </c>
      <c r="I105" s="35" t="s">
        <v>242</v>
      </c>
      <c r="J105" s="85"/>
      <c r="K105" s="85">
        <v>7010475833</v>
      </c>
      <c r="L105" s="81"/>
      <c r="M105" s="81">
        <v>2130035567</v>
      </c>
      <c r="N105" s="35" t="s">
        <v>64</v>
      </c>
      <c r="O105" s="42" t="s">
        <v>84</v>
      </c>
      <c r="P105" s="35">
        <v>18.399999999999999</v>
      </c>
      <c r="Q105" s="35">
        <v>8</v>
      </c>
      <c r="R105" s="35">
        <f t="shared" si="56"/>
        <v>147.19999999999999</v>
      </c>
      <c r="S105" s="43">
        <v>60000</v>
      </c>
      <c r="T105" s="44">
        <f t="shared" ref="T105:T116" si="62">S105*10/100</f>
        <v>6000</v>
      </c>
      <c r="U105" s="63">
        <f t="shared" si="61"/>
        <v>66000</v>
      </c>
      <c r="V105" s="46">
        <v>156960</v>
      </c>
      <c r="W105" s="46"/>
      <c r="X105" s="52">
        <v>0</v>
      </c>
      <c r="Y105" s="48">
        <f t="shared" si="54"/>
        <v>0</v>
      </c>
      <c r="Z105" s="69">
        <v>0</v>
      </c>
      <c r="AA105" s="50">
        <f t="shared" si="59"/>
        <v>0</v>
      </c>
      <c r="AB105" s="50"/>
      <c r="AC105" s="52">
        <v>46000</v>
      </c>
      <c r="AD105" s="52">
        <f>S105*1.15-AC105</f>
        <v>23000</v>
      </c>
      <c r="AE105" s="73">
        <f>S105*1.15+X105-AB105-AC105</f>
        <v>23000</v>
      </c>
      <c r="AF105" s="52" t="b">
        <v>0</v>
      </c>
      <c r="AG105" s="52"/>
      <c r="AH105" s="52"/>
      <c r="AI105" s="52"/>
      <c r="AJ105" s="52"/>
      <c r="AK105" s="52"/>
      <c r="AL105" s="52"/>
      <c r="AM105" s="52" t="b">
        <v>0</v>
      </c>
      <c r="AN105" s="52"/>
      <c r="AO105" s="52"/>
      <c r="AP105" s="52"/>
      <c r="AQ105" s="52"/>
      <c r="AR105" s="52"/>
      <c r="AS105" s="52" t="b">
        <v>0</v>
      </c>
      <c r="AT105" s="52"/>
      <c r="AU105" s="52"/>
      <c r="AV105" s="52"/>
      <c r="AW105" s="52"/>
      <c r="AX105" s="52" t="str">
        <f t="shared" si="55"/>
        <v>غير ملتزم</v>
      </c>
      <c r="AY105" s="54" t="s">
        <v>77</v>
      </c>
      <c r="AZ105" s="43" t="s">
        <v>78</v>
      </c>
      <c r="BA105" s="55" t="s">
        <v>243</v>
      </c>
      <c r="BB105" s="55"/>
      <c r="BC105" s="55"/>
      <c r="BD105" s="54"/>
      <c r="BE105" s="54"/>
      <c r="BF105" s="54"/>
      <c r="BG105" s="54"/>
      <c r="BH105" s="54"/>
      <c r="BI105" s="54" t="s">
        <v>112</v>
      </c>
      <c r="BJ105" s="54">
        <f>(U105+V105+AE105)-BD105-BE105</f>
        <v>245960</v>
      </c>
      <c r="BK105" s="54"/>
    </row>
    <row r="106" spans="1:63" ht="34.5" hidden="1" customHeight="1" x14ac:dyDescent="0.25">
      <c r="A106" s="35">
        <f t="shared" si="53"/>
        <v>10</v>
      </c>
      <c r="B106" s="35" t="s">
        <v>244</v>
      </c>
      <c r="C106" s="105"/>
      <c r="D106" s="37" t="s">
        <v>94</v>
      </c>
      <c r="E106" s="37" t="b">
        <v>0</v>
      </c>
      <c r="F106" s="37"/>
      <c r="G106" s="65"/>
      <c r="H106" s="35">
        <v>1</v>
      </c>
      <c r="I106" s="35">
        <v>472</v>
      </c>
      <c r="J106" s="95" t="s">
        <v>245</v>
      </c>
      <c r="K106" s="81">
        <v>7003146490</v>
      </c>
      <c r="L106" s="81">
        <v>599996818</v>
      </c>
      <c r="M106" s="81">
        <v>1031405101</v>
      </c>
      <c r="N106" s="35" t="s">
        <v>73</v>
      </c>
      <c r="O106" s="35" t="s">
        <v>97</v>
      </c>
      <c r="P106" s="35">
        <v>4</v>
      </c>
      <c r="Q106" s="35">
        <v>4</v>
      </c>
      <c r="R106" s="35">
        <f t="shared" si="56"/>
        <v>16</v>
      </c>
      <c r="S106" s="43">
        <v>30000</v>
      </c>
      <c r="T106" s="44">
        <f t="shared" si="62"/>
        <v>3000</v>
      </c>
      <c r="U106" s="63">
        <f t="shared" si="61"/>
        <v>33000</v>
      </c>
      <c r="V106" s="106"/>
      <c r="W106" s="106"/>
      <c r="X106" s="45">
        <v>84525</v>
      </c>
      <c r="Y106" s="48">
        <f t="shared" si="54"/>
        <v>73500</v>
      </c>
      <c r="Z106" s="50">
        <v>0</v>
      </c>
      <c r="AA106" s="50">
        <f t="shared" si="59"/>
        <v>0</v>
      </c>
      <c r="AB106" s="50"/>
      <c r="AC106" s="52">
        <v>0</v>
      </c>
      <c r="AD106" s="52">
        <f>S106*1.15-AC106</f>
        <v>34500</v>
      </c>
      <c r="AE106" s="53">
        <f>S106*1.15+X106-AB106-AC106</f>
        <v>119025</v>
      </c>
      <c r="AF106" s="52" t="b">
        <v>0</v>
      </c>
      <c r="AG106" s="52"/>
      <c r="AH106" s="52"/>
      <c r="AI106" s="52"/>
      <c r="AJ106" s="52"/>
      <c r="AK106" s="52"/>
      <c r="AL106" s="52"/>
      <c r="AM106" s="52" t="b">
        <v>0</v>
      </c>
      <c r="AN106" s="52"/>
      <c r="AO106" s="52"/>
      <c r="AP106" s="52"/>
      <c r="AQ106" s="52"/>
      <c r="AR106" s="52"/>
      <c r="AS106" s="52" t="b">
        <v>0</v>
      </c>
      <c r="AT106" s="52"/>
      <c r="AU106" s="52"/>
      <c r="AV106" s="52"/>
      <c r="AW106" s="52" t="s">
        <v>246</v>
      </c>
      <c r="AX106" s="52" t="str">
        <f t="shared" si="55"/>
        <v>غير ملتزم</v>
      </c>
      <c r="AY106" s="54" t="s">
        <v>102</v>
      </c>
      <c r="AZ106" s="43" t="s">
        <v>103</v>
      </c>
      <c r="BA106" s="107" t="s">
        <v>98</v>
      </c>
      <c r="BB106" s="107"/>
      <c r="BC106" s="107"/>
      <c r="BD106" s="54"/>
      <c r="BE106" s="54">
        <v>0</v>
      </c>
      <c r="BF106" s="54"/>
      <c r="BG106" s="54"/>
      <c r="BH106" s="54"/>
      <c r="BI106" s="54"/>
      <c r="BJ106" s="54">
        <f>(U106+V106+AE106)-BD106-BE106</f>
        <v>152025</v>
      </c>
      <c r="BK106" s="54"/>
    </row>
    <row r="107" spans="1:63" ht="34.5" hidden="1" customHeight="1" x14ac:dyDescent="0.25">
      <c r="A107" s="35">
        <f t="shared" si="53"/>
        <v>11</v>
      </c>
      <c r="B107" s="35" t="s">
        <v>247</v>
      </c>
      <c r="C107" s="105">
        <v>20994991700</v>
      </c>
      <c r="D107" s="37" t="s">
        <v>106</v>
      </c>
      <c r="E107" s="37" t="b">
        <v>0</v>
      </c>
      <c r="F107" s="37"/>
      <c r="G107" s="65">
        <v>46022</v>
      </c>
      <c r="H107" s="35">
        <v>2</v>
      </c>
      <c r="I107" s="35" t="s">
        <v>248</v>
      </c>
      <c r="J107" s="95" t="s">
        <v>249</v>
      </c>
      <c r="K107" s="81"/>
      <c r="L107" s="81"/>
      <c r="M107" s="81">
        <v>1008239483</v>
      </c>
      <c r="N107" s="35" t="s">
        <v>73</v>
      </c>
      <c r="O107" s="35" t="s">
        <v>97</v>
      </c>
      <c r="P107" s="35">
        <v>10.6</v>
      </c>
      <c r="Q107" s="35">
        <v>4.6500000000000004</v>
      </c>
      <c r="R107" s="35">
        <f t="shared" si="56"/>
        <v>49.29</v>
      </c>
      <c r="S107" s="43">
        <v>68000</v>
      </c>
      <c r="T107" s="44">
        <f t="shared" si="62"/>
        <v>6800</v>
      </c>
      <c r="U107" s="63">
        <f t="shared" si="61"/>
        <v>74800</v>
      </c>
      <c r="V107" s="106"/>
      <c r="W107" s="106"/>
      <c r="X107" s="45"/>
      <c r="Y107" s="48">
        <f t="shared" si="54"/>
        <v>0</v>
      </c>
      <c r="Z107" s="50">
        <v>0</v>
      </c>
      <c r="AA107" s="50">
        <f t="shared" si="59"/>
        <v>0</v>
      </c>
      <c r="AB107" s="50"/>
      <c r="AC107" s="52">
        <v>78200</v>
      </c>
      <c r="AD107" s="52">
        <f>S107*1.15-AC107</f>
        <v>0</v>
      </c>
      <c r="AE107" s="53">
        <f>S107*1.15+X107-AB107-AC107</f>
        <v>0</v>
      </c>
      <c r="AF107" s="52" t="b">
        <v>0</v>
      </c>
      <c r="AG107" s="52"/>
      <c r="AH107" s="52"/>
      <c r="AI107" s="52"/>
      <c r="AJ107" s="52"/>
      <c r="AK107" s="52"/>
      <c r="AL107" s="52"/>
      <c r="AM107" s="52" t="b">
        <v>0</v>
      </c>
      <c r="AN107" s="52"/>
      <c r="AO107" s="52"/>
      <c r="AP107" s="52"/>
      <c r="AQ107" s="52"/>
      <c r="AR107" s="52"/>
      <c r="AS107" s="52" t="b">
        <v>0</v>
      </c>
      <c r="AT107" s="52"/>
      <c r="AU107" s="52"/>
      <c r="AV107" s="52"/>
      <c r="AW107" s="52"/>
      <c r="AX107" s="52" t="str">
        <f t="shared" si="55"/>
        <v>ملتزم</v>
      </c>
      <c r="AY107" s="54" t="s">
        <v>69</v>
      </c>
      <c r="AZ107" s="43" t="s">
        <v>107</v>
      </c>
      <c r="BA107" s="55"/>
      <c r="BB107" s="55"/>
      <c r="BC107" s="55"/>
      <c r="BD107" s="54"/>
      <c r="BE107" s="68">
        <v>86250</v>
      </c>
      <c r="BF107" s="54"/>
      <c r="BG107" s="54"/>
      <c r="BH107" s="54"/>
      <c r="BI107" s="54" t="s">
        <v>76</v>
      </c>
      <c r="BJ107" s="54">
        <f>(U107+V107+AE107)-BD107-BE107</f>
        <v>-11450</v>
      </c>
      <c r="BK107" s="54" t="s">
        <v>250</v>
      </c>
    </row>
    <row r="108" spans="1:63" ht="34.5" hidden="1" customHeight="1" x14ac:dyDescent="0.25">
      <c r="A108" s="35">
        <f t="shared" si="53"/>
        <v>12</v>
      </c>
      <c r="B108" s="57" t="s">
        <v>251</v>
      </c>
      <c r="C108" s="71"/>
      <c r="D108" s="37" t="s">
        <v>106</v>
      </c>
      <c r="E108" s="37" t="b">
        <v>0</v>
      </c>
      <c r="F108" s="37"/>
      <c r="G108" s="65">
        <v>46022</v>
      </c>
      <c r="H108" s="42">
        <v>1</v>
      </c>
      <c r="I108" s="42">
        <v>66</v>
      </c>
      <c r="J108" s="59" t="s">
        <v>252</v>
      </c>
      <c r="K108" s="61">
        <v>7001497689</v>
      </c>
      <c r="L108" s="61">
        <v>554544000</v>
      </c>
      <c r="M108" s="61">
        <v>1067457018</v>
      </c>
      <c r="N108" s="35" t="s">
        <v>73</v>
      </c>
      <c r="O108" s="42" t="s">
        <v>74</v>
      </c>
      <c r="P108" s="35"/>
      <c r="Q108" s="35"/>
      <c r="R108" s="35">
        <f t="shared" si="56"/>
        <v>0</v>
      </c>
      <c r="S108" s="62">
        <v>31000</v>
      </c>
      <c r="T108" s="44">
        <f t="shared" si="62"/>
        <v>3100</v>
      </c>
      <c r="U108" s="63">
        <f t="shared" si="61"/>
        <v>34100</v>
      </c>
      <c r="V108" s="64"/>
      <c r="W108" s="64"/>
      <c r="X108" s="52">
        <v>0</v>
      </c>
      <c r="Y108" s="48">
        <f t="shared" si="54"/>
        <v>0</v>
      </c>
      <c r="Z108" s="69">
        <v>0</v>
      </c>
      <c r="AA108" s="50">
        <f t="shared" si="59"/>
        <v>0</v>
      </c>
      <c r="AB108" s="50"/>
      <c r="AC108" s="52">
        <v>35650</v>
      </c>
      <c r="AD108" s="52">
        <f>S108*1.15-AC108</f>
        <v>0</v>
      </c>
      <c r="AE108" s="53">
        <f>S108*1.15+X108-AB108-AC108</f>
        <v>0</v>
      </c>
      <c r="AF108" s="52" t="b">
        <v>0</v>
      </c>
      <c r="AG108" s="52"/>
      <c r="AH108" s="52"/>
      <c r="AI108" s="52"/>
      <c r="AJ108" s="52"/>
      <c r="AK108" s="52"/>
      <c r="AL108" s="52"/>
      <c r="AM108" s="52" t="b">
        <v>0</v>
      </c>
      <c r="AN108" s="52"/>
      <c r="AO108" s="52"/>
      <c r="AP108" s="52"/>
      <c r="AQ108" s="52"/>
      <c r="AR108" s="52"/>
      <c r="AS108" s="52" t="b">
        <v>0</v>
      </c>
      <c r="AT108" s="52"/>
      <c r="AU108" s="52"/>
      <c r="AV108" s="52"/>
      <c r="AW108" s="52"/>
      <c r="AX108" s="52" t="str">
        <f t="shared" si="55"/>
        <v>ملتزم</v>
      </c>
      <c r="AY108" s="54" t="s">
        <v>192</v>
      </c>
      <c r="AZ108" s="43" t="s">
        <v>107</v>
      </c>
      <c r="BA108" s="55"/>
      <c r="BB108" s="55"/>
      <c r="BC108" s="55"/>
      <c r="BD108" s="54"/>
      <c r="BE108" s="68">
        <v>39415</v>
      </c>
      <c r="BF108" s="54"/>
      <c r="BG108" s="54"/>
      <c r="BH108" s="54"/>
      <c r="BI108" s="54" t="s">
        <v>72</v>
      </c>
      <c r="BJ108" s="54">
        <f>(U108+V108+AE108)-BD108-BE108</f>
        <v>-5315</v>
      </c>
      <c r="BK108" s="54" t="s">
        <v>253</v>
      </c>
    </row>
    <row r="109" spans="1:63" ht="34.5" hidden="1" customHeight="1" x14ac:dyDescent="0.25">
      <c r="A109" s="35">
        <f t="shared" si="53"/>
        <v>13</v>
      </c>
      <c r="B109" s="57" t="s">
        <v>251</v>
      </c>
      <c r="C109" s="71"/>
      <c r="D109" s="37" t="s">
        <v>106</v>
      </c>
      <c r="E109" s="37" t="b">
        <v>0</v>
      </c>
      <c r="F109" s="37"/>
      <c r="G109" s="65">
        <v>46022</v>
      </c>
      <c r="H109" s="42">
        <v>1</v>
      </c>
      <c r="I109" s="42">
        <v>67</v>
      </c>
      <c r="J109" s="59" t="s">
        <v>252</v>
      </c>
      <c r="K109" s="61">
        <v>7001497689</v>
      </c>
      <c r="L109" s="61">
        <v>554544000</v>
      </c>
      <c r="M109" s="61">
        <v>1067457018</v>
      </c>
      <c r="N109" s="35" t="s">
        <v>73</v>
      </c>
      <c r="O109" s="42" t="s">
        <v>74</v>
      </c>
      <c r="P109" s="35"/>
      <c r="Q109" s="35"/>
      <c r="R109" s="35">
        <f t="shared" si="56"/>
        <v>0</v>
      </c>
      <c r="S109" s="62">
        <v>49000</v>
      </c>
      <c r="T109" s="44">
        <f t="shared" si="62"/>
        <v>4900</v>
      </c>
      <c r="U109" s="63">
        <f t="shared" si="61"/>
        <v>53900</v>
      </c>
      <c r="V109" s="99"/>
      <c r="W109" s="99"/>
      <c r="X109" s="52">
        <v>0</v>
      </c>
      <c r="Y109" s="48">
        <f t="shared" si="54"/>
        <v>0</v>
      </c>
      <c r="Z109" s="69">
        <v>0</v>
      </c>
      <c r="AA109" s="50">
        <f t="shared" si="59"/>
        <v>0</v>
      </c>
      <c r="AB109" s="50"/>
      <c r="AC109" s="52">
        <v>56350</v>
      </c>
      <c r="AD109" s="52">
        <f>S109*1.15-AC109</f>
        <v>0</v>
      </c>
      <c r="AE109" s="53">
        <f>S109*1.15+X109-AB109-AC109</f>
        <v>0</v>
      </c>
      <c r="AF109" s="52" t="b">
        <v>0</v>
      </c>
      <c r="AG109" s="52"/>
      <c r="AH109" s="52"/>
      <c r="AI109" s="52"/>
      <c r="AJ109" s="52"/>
      <c r="AK109" s="52"/>
      <c r="AL109" s="52"/>
      <c r="AM109" s="52" t="b">
        <v>0</v>
      </c>
      <c r="AN109" s="52"/>
      <c r="AO109" s="52"/>
      <c r="AP109" s="52"/>
      <c r="AQ109" s="52"/>
      <c r="AR109" s="52"/>
      <c r="AS109" s="52" t="b">
        <v>0</v>
      </c>
      <c r="AT109" s="52"/>
      <c r="AU109" s="52"/>
      <c r="AV109" s="52"/>
      <c r="AW109" s="52"/>
      <c r="AX109" s="52" t="str">
        <f t="shared" si="55"/>
        <v>ملتزم</v>
      </c>
      <c r="AY109" s="54" t="s">
        <v>192</v>
      </c>
      <c r="AZ109" s="43" t="s">
        <v>107</v>
      </c>
      <c r="BA109" s="55"/>
      <c r="BB109" s="55"/>
      <c r="BC109" s="55"/>
      <c r="BD109" s="54"/>
      <c r="BE109" s="68">
        <v>62185</v>
      </c>
      <c r="BF109" s="54"/>
      <c r="BG109" s="54"/>
      <c r="BH109" s="54"/>
      <c r="BI109" s="54" t="s">
        <v>72</v>
      </c>
      <c r="BJ109" s="54">
        <f>(U109+V109+AE109)-BD109-BE109</f>
        <v>-8285</v>
      </c>
      <c r="BK109" s="54" t="s">
        <v>253</v>
      </c>
    </row>
    <row r="110" spans="1:63" ht="34.5" hidden="1" customHeight="1" x14ac:dyDescent="0.25">
      <c r="A110" s="35">
        <f t="shared" si="53"/>
        <v>14</v>
      </c>
      <c r="B110" s="35" t="s">
        <v>254</v>
      </c>
      <c r="C110" s="105">
        <v>20371225029</v>
      </c>
      <c r="D110" s="37" t="s">
        <v>106</v>
      </c>
      <c r="E110" s="37" t="b">
        <v>0</v>
      </c>
      <c r="F110" s="37"/>
      <c r="G110" s="65">
        <v>46022</v>
      </c>
      <c r="H110" s="35">
        <v>1</v>
      </c>
      <c r="I110" s="35">
        <v>369</v>
      </c>
      <c r="J110" s="95" t="s">
        <v>255</v>
      </c>
      <c r="K110" s="81">
        <v>7013302190</v>
      </c>
      <c r="L110" s="81">
        <v>556817777</v>
      </c>
      <c r="M110" s="81">
        <v>1047693260</v>
      </c>
      <c r="N110" s="35" t="s">
        <v>73</v>
      </c>
      <c r="O110" s="35" t="s">
        <v>97</v>
      </c>
      <c r="P110" s="35">
        <v>5</v>
      </c>
      <c r="Q110" s="35">
        <v>4</v>
      </c>
      <c r="R110" s="35">
        <f t="shared" si="56"/>
        <v>20</v>
      </c>
      <c r="S110" s="44">
        <v>30000</v>
      </c>
      <c r="T110" s="44">
        <f t="shared" si="62"/>
        <v>3000</v>
      </c>
      <c r="U110" s="63">
        <f t="shared" si="61"/>
        <v>33000</v>
      </c>
      <c r="V110" s="106"/>
      <c r="W110" s="106"/>
      <c r="X110" s="52">
        <v>0</v>
      </c>
      <c r="Y110" s="48">
        <f t="shared" si="54"/>
        <v>0</v>
      </c>
      <c r="Z110" s="50">
        <v>0</v>
      </c>
      <c r="AA110" s="50">
        <f t="shared" si="59"/>
        <v>0</v>
      </c>
      <c r="AB110" s="50"/>
      <c r="AC110" s="52">
        <v>34500</v>
      </c>
      <c r="AD110" s="52">
        <f>S110*1.15-AC110</f>
        <v>0</v>
      </c>
      <c r="AE110" s="53">
        <f>S110*1.15+X110-AB110-AC110</f>
        <v>0</v>
      </c>
      <c r="AF110" s="52" t="b">
        <v>0</v>
      </c>
      <c r="AG110" s="52"/>
      <c r="AH110" s="52"/>
      <c r="AI110" s="52"/>
      <c r="AJ110" s="52"/>
      <c r="AK110" s="52"/>
      <c r="AL110" s="52"/>
      <c r="AM110" s="52" t="b">
        <v>0</v>
      </c>
      <c r="AN110" s="52"/>
      <c r="AO110" s="52"/>
      <c r="AP110" s="52"/>
      <c r="AQ110" s="52"/>
      <c r="AR110" s="52"/>
      <c r="AS110" s="52" t="b">
        <v>0</v>
      </c>
      <c r="AT110" s="52"/>
      <c r="AU110" s="52"/>
      <c r="AV110" s="52"/>
      <c r="AW110" s="52"/>
      <c r="AX110" s="52" t="str">
        <f t="shared" si="55"/>
        <v>ملتزم</v>
      </c>
      <c r="AY110" s="54" t="s">
        <v>77</v>
      </c>
      <c r="AZ110" s="43" t="s">
        <v>107</v>
      </c>
      <c r="BA110" s="55"/>
      <c r="BB110" s="55"/>
      <c r="BC110" s="55"/>
      <c r="BD110" s="54"/>
      <c r="BE110" s="68">
        <v>19090</v>
      </c>
      <c r="BF110" s="54"/>
      <c r="BG110" s="54"/>
      <c r="BH110" s="54"/>
      <c r="BI110" s="54" t="s">
        <v>112</v>
      </c>
      <c r="BJ110" s="54">
        <f>(U110+V110+AE110)-BD110-BE110</f>
        <v>13910</v>
      </c>
      <c r="BK110" s="54" t="s">
        <v>205</v>
      </c>
    </row>
    <row r="111" spans="1:63" ht="34.5" hidden="1" customHeight="1" x14ac:dyDescent="0.25">
      <c r="A111" s="35">
        <f t="shared" si="53"/>
        <v>15</v>
      </c>
      <c r="B111" s="57" t="s">
        <v>256</v>
      </c>
      <c r="C111" s="57">
        <v>20785239528</v>
      </c>
      <c r="D111" s="37" t="s">
        <v>106</v>
      </c>
      <c r="E111" s="37"/>
      <c r="F111" s="37"/>
      <c r="G111" s="65">
        <v>46022</v>
      </c>
      <c r="H111" s="42">
        <v>1</v>
      </c>
      <c r="I111" s="42">
        <v>12</v>
      </c>
      <c r="J111" s="59" t="s">
        <v>257</v>
      </c>
      <c r="K111" s="60">
        <v>7006362029</v>
      </c>
      <c r="L111" s="60">
        <v>539355234</v>
      </c>
      <c r="M111" s="61">
        <v>1096050701</v>
      </c>
      <c r="N111" s="35" t="s">
        <v>73</v>
      </c>
      <c r="O111" s="42" t="s">
        <v>74</v>
      </c>
      <c r="P111" s="35"/>
      <c r="Q111" s="35"/>
      <c r="R111" s="35">
        <v>42.3</v>
      </c>
      <c r="S111" s="62">
        <v>25000</v>
      </c>
      <c r="T111" s="44">
        <f t="shared" si="62"/>
        <v>2500</v>
      </c>
      <c r="U111" s="63">
        <f t="shared" si="61"/>
        <v>27500</v>
      </c>
      <c r="V111" s="64"/>
      <c r="W111" s="64"/>
      <c r="X111" s="51"/>
      <c r="Y111" s="48">
        <f t="shared" si="54"/>
        <v>0</v>
      </c>
      <c r="Z111" s="49">
        <v>0</v>
      </c>
      <c r="AA111" s="50">
        <f t="shared" si="59"/>
        <v>0</v>
      </c>
      <c r="AB111" s="50"/>
      <c r="AC111" s="51">
        <v>28750</v>
      </c>
      <c r="AD111" s="52">
        <f>S111*1.15-AC111</f>
        <v>0</v>
      </c>
      <c r="AE111" s="53">
        <f>S111*1.15+X111-AB111-AC111</f>
        <v>0</v>
      </c>
      <c r="AF111" s="52" t="b">
        <v>0</v>
      </c>
      <c r="AG111" s="52"/>
      <c r="AH111" s="52"/>
      <c r="AI111" s="52"/>
      <c r="AJ111" s="52"/>
      <c r="AK111" s="52"/>
      <c r="AL111" s="52"/>
      <c r="AM111" s="52" t="b">
        <v>0</v>
      </c>
      <c r="AN111" s="52"/>
      <c r="AO111" s="52"/>
      <c r="AP111" s="52"/>
      <c r="AQ111" s="52"/>
      <c r="AR111" s="52"/>
      <c r="AS111" s="52" t="b">
        <v>0</v>
      </c>
      <c r="AT111" s="52"/>
      <c r="AU111" s="52"/>
      <c r="AV111" s="52"/>
      <c r="AW111" s="52"/>
      <c r="AX111" s="52" t="str">
        <f t="shared" si="55"/>
        <v>ملتزم</v>
      </c>
      <c r="AY111" s="54" t="s">
        <v>69</v>
      </c>
      <c r="AZ111" s="43" t="s">
        <v>107</v>
      </c>
      <c r="BA111" s="55"/>
      <c r="BB111" s="55"/>
      <c r="BC111" s="55"/>
      <c r="BD111" s="54"/>
      <c r="BE111" s="68">
        <v>11810</v>
      </c>
      <c r="BF111" s="54"/>
      <c r="BG111" s="54"/>
      <c r="BH111" s="54"/>
      <c r="BI111" s="54" t="s">
        <v>112</v>
      </c>
      <c r="BJ111" s="54">
        <f>(U111+V111+AE111)-BD111-BE111</f>
        <v>15690</v>
      </c>
      <c r="BK111" s="54"/>
    </row>
    <row r="112" spans="1:63" ht="34.5" hidden="1" customHeight="1" x14ac:dyDescent="0.25">
      <c r="A112" s="35">
        <f t="shared" si="53"/>
        <v>16</v>
      </c>
      <c r="B112" s="57" t="s">
        <v>256</v>
      </c>
      <c r="C112" s="72">
        <v>20803473591</v>
      </c>
      <c r="D112" s="37" t="s">
        <v>106</v>
      </c>
      <c r="E112" s="37" t="b">
        <v>0</v>
      </c>
      <c r="F112" s="37"/>
      <c r="G112" s="65">
        <v>46022</v>
      </c>
      <c r="H112" s="42">
        <v>1</v>
      </c>
      <c r="I112" s="42" t="s">
        <v>258</v>
      </c>
      <c r="J112" s="59" t="s">
        <v>257</v>
      </c>
      <c r="K112" s="61">
        <v>7006362029</v>
      </c>
      <c r="L112" s="61">
        <v>539355234</v>
      </c>
      <c r="M112" s="61">
        <v>1096050701</v>
      </c>
      <c r="N112" s="35" t="s">
        <v>73</v>
      </c>
      <c r="O112" s="42" t="s">
        <v>74</v>
      </c>
      <c r="P112" s="35">
        <v>8</v>
      </c>
      <c r="Q112" s="35">
        <v>6.8</v>
      </c>
      <c r="R112" s="35">
        <f t="shared" ref="R112:R113" si="63">P112*Q112</f>
        <v>54.4</v>
      </c>
      <c r="S112" s="62">
        <v>28000</v>
      </c>
      <c r="T112" s="44">
        <f t="shared" si="62"/>
        <v>2800</v>
      </c>
      <c r="U112" s="63">
        <f t="shared" si="61"/>
        <v>30800</v>
      </c>
      <c r="V112" s="64"/>
      <c r="W112" s="64"/>
      <c r="X112" s="52">
        <v>31525</v>
      </c>
      <c r="Y112" s="48">
        <f t="shared" si="54"/>
        <v>27413.043478260872</v>
      </c>
      <c r="Z112" s="69">
        <v>0</v>
      </c>
      <c r="AA112" s="50">
        <f t="shared" si="59"/>
        <v>0</v>
      </c>
      <c r="AB112" s="50">
        <v>31525</v>
      </c>
      <c r="AC112" s="52">
        <v>28117</v>
      </c>
      <c r="AD112" s="52">
        <f>S112*1.15-AC112</f>
        <v>4082.9999999999964</v>
      </c>
      <c r="AE112" s="53">
        <f>S112*1.15+X112-AB112-AC112</f>
        <v>4083</v>
      </c>
      <c r="AF112" s="52" t="b">
        <v>0</v>
      </c>
      <c r="AG112" s="52"/>
      <c r="AH112" s="52"/>
      <c r="AI112" s="52"/>
      <c r="AJ112" s="52"/>
      <c r="AK112" s="52"/>
      <c r="AL112" s="52"/>
      <c r="AM112" s="52" t="b">
        <v>0</v>
      </c>
      <c r="AN112" s="52"/>
      <c r="AO112" s="52"/>
      <c r="AP112" s="52"/>
      <c r="AQ112" s="52"/>
      <c r="AR112" s="52"/>
      <c r="AS112" s="52" t="b">
        <v>0</v>
      </c>
      <c r="AT112" s="52"/>
      <c r="AU112" s="52"/>
      <c r="AV112" s="52"/>
      <c r="AW112" s="52"/>
      <c r="AX112" s="52" t="str">
        <f t="shared" si="55"/>
        <v>غير ملتزم</v>
      </c>
      <c r="AY112" s="54" t="s">
        <v>77</v>
      </c>
      <c r="AZ112" s="43" t="s">
        <v>107</v>
      </c>
      <c r="BA112" s="55"/>
      <c r="BB112" s="55"/>
      <c r="BC112" s="55"/>
      <c r="BD112" s="54"/>
      <c r="BE112" s="68">
        <v>0</v>
      </c>
      <c r="BF112" s="54"/>
      <c r="BG112" s="54"/>
      <c r="BH112" s="54"/>
      <c r="BI112" s="54" t="s">
        <v>76</v>
      </c>
      <c r="BJ112" s="54">
        <f>(U112+V112+AE112)-BD112-BE112</f>
        <v>34883</v>
      </c>
      <c r="BK112" s="54"/>
    </row>
    <row r="113" spans="1:63" ht="34.5" hidden="1" customHeight="1" x14ac:dyDescent="0.25">
      <c r="A113" s="35">
        <f t="shared" si="53"/>
        <v>17</v>
      </c>
      <c r="B113" s="35" t="s">
        <v>259</v>
      </c>
      <c r="C113" s="105">
        <v>20471935975</v>
      </c>
      <c r="D113" s="37" t="s">
        <v>106</v>
      </c>
      <c r="E113" s="37" t="b">
        <v>0</v>
      </c>
      <c r="F113" s="37"/>
      <c r="G113" s="65">
        <v>46022</v>
      </c>
      <c r="H113" s="35">
        <v>2</v>
      </c>
      <c r="I113" s="35" t="s">
        <v>260</v>
      </c>
      <c r="J113" s="84" t="s">
        <v>257</v>
      </c>
      <c r="K113" s="81">
        <v>7006362029</v>
      </c>
      <c r="L113" s="81">
        <v>539355234</v>
      </c>
      <c r="M113" s="114">
        <v>1096050701</v>
      </c>
      <c r="N113" s="35" t="s">
        <v>73</v>
      </c>
      <c r="O113" s="35" t="s">
        <v>97</v>
      </c>
      <c r="P113" s="35">
        <v>8</v>
      </c>
      <c r="Q113" s="35">
        <v>5</v>
      </c>
      <c r="R113" s="35">
        <f t="shared" si="63"/>
        <v>40</v>
      </c>
      <c r="S113" s="44">
        <v>64000</v>
      </c>
      <c r="T113" s="44">
        <f t="shared" si="62"/>
        <v>6400</v>
      </c>
      <c r="U113" s="63">
        <f t="shared" si="61"/>
        <v>70400</v>
      </c>
      <c r="V113" s="106"/>
      <c r="W113" s="106"/>
      <c r="X113" s="52">
        <v>0</v>
      </c>
      <c r="Y113" s="48">
        <f t="shared" si="54"/>
        <v>0</v>
      </c>
      <c r="Z113" s="50">
        <v>0</v>
      </c>
      <c r="AA113" s="50">
        <f t="shared" si="59"/>
        <v>0</v>
      </c>
      <c r="AB113" s="50">
        <v>2453</v>
      </c>
      <c r="AC113" s="52">
        <v>67453</v>
      </c>
      <c r="AD113" s="52">
        <f>S113*1.15-AC113</f>
        <v>6147</v>
      </c>
      <c r="AE113" s="53">
        <f>S113*1.15+X113-AB113-AC113</f>
        <v>3694</v>
      </c>
      <c r="AF113" s="52" t="b">
        <v>1</v>
      </c>
      <c r="AG113" s="117">
        <v>45698</v>
      </c>
      <c r="AH113" s="52">
        <v>56671</v>
      </c>
      <c r="AI113" s="54" t="s">
        <v>68</v>
      </c>
      <c r="AJ113" s="52" t="s">
        <v>136</v>
      </c>
      <c r="AK113" s="116" t="s">
        <v>261</v>
      </c>
      <c r="AL113" s="116"/>
      <c r="AM113" s="52" t="b">
        <v>0</v>
      </c>
      <c r="AN113" s="126" t="s">
        <v>152</v>
      </c>
      <c r="AO113" s="52">
        <v>56671</v>
      </c>
      <c r="AP113" s="52"/>
      <c r="AQ113" s="52"/>
      <c r="AR113" s="52"/>
      <c r="AS113" s="52" t="b">
        <v>0</v>
      </c>
      <c r="AT113" s="54"/>
      <c r="AU113" s="52"/>
      <c r="AV113" s="52"/>
      <c r="AW113" s="52"/>
      <c r="AX113" s="52" t="str">
        <f t="shared" si="55"/>
        <v>غير ملتزم</v>
      </c>
      <c r="AY113" s="54" t="s">
        <v>77</v>
      </c>
      <c r="AZ113" s="43" t="s">
        <v>107</v>
      </c>
      <c r="BA113" s="55"/>
      <c r="BB113" s="55"/>
      <c r="BC113" s="55"/>
      <c r="BD113" s="54"/>
      <c r="BE113" s="68"/>
      <c r="BF113" s="54"/>
      <c r="BG113" s="54"/>
      <c r="BH113" s="54"/>
      <c r="BI113" s="52" t="s">
        <v>72</v>
      </c>
      <c r="BJ113" s="54">
        <f>(U113+V113+AE113)-BD113-BE113</f>
        <v>74094</v>
      </c>
      <c r="BK113" s="54"/>
    </row>
    <row r="114" spans="1:63" ht="34.5" hidden="1" customHeight="1" x14ac:dyDescent="0.25">
      <c r="A114" s="35">
        <f>1+A112</f>
        <v>17</v>
      </c>
      <c r="B114" s="57" t="s">
        <v>262</v>
      </c>
      <c r="C114" s="57">
        <v>20868607601</v>
      </c>
      <c r="D114" s="37" t="s">
        <v>106</v>
      </c>
      <c r="E114" s="37" t="b">
        <v>0</v>
      </c>
      <c r="F114" s="37"/>
      <c r="G114" s="65">
        <v>46022</v>
      </c>
      <c r="H114" s="42">
        <v>1</v>
      </c>
      <c r="I114" s="42">
        <v>21</v>
      </c>
      <c r="J114" s="112">
        <v>27030</v>
      </c>
      <c r="K114" s="60">
        <v>7006362029</v>
      </c>
      <c r="L114" s="60">
        <v>539355234</v>
      </c>
      <c r="M114" s="61">
        <v>2251217358</v>
      </c>
      <c r="N114" s="35" t="s">
        <v>73</v>
      </c>
      <c r="O114" s="42" t="s">
        <v>74</v>
      </c>
      <c r="P114" s="35"/>
      <c r="Q114" s="35"/>
      <c r="R114" s="35">
        <v>25</v>
      </c>
      <c r="S114" s="62">
        <v>25000</v>
      </c>
      <c r="T114" s="44">
        <f t="shared" si="62"/>
        <v>2500</v>
      </c>
      <c r="U114" s="63">
        <f t="shared" si="61"/>
        <v>27500</v>
      </c>
      <c r="V114" s="99"/>
      <c r="W114" s="99"/>
      <c r="X114" s="51"/>
      <c r="Y114" s="48">
        <f t="shared" si="54"/>
        <v>0</v>
      </c>
      <c r="Z114" s="49">
        <v>0</v>
      </c>
      <c r="AA114" s="50">
        <f t="shared" si="59"/>
        <v>0</v>
      </c>
      <c r="AB114" s="50"/>
      <c r="AC114" s="51">
        <v>28750</v>
      </c>
      <c r="AD114" s="52">
        <f>S114*1.15-AC114</f>
        <v>0</v>
      </c>
      <c r="AE114" s="53">
        <f>S114*1.15+X114-AB114-AC114</f>
        <v>0</v>
      </c>
      <c r="AF114" s="52" t="b">
        <v>0</v>
      </c>
      <c r="AG114" s="52"/>
      <c r="AH114" s="52"/>
      <c r="AI114" s="52"/>
      <c r="AJ114" s="52"/>
      <c r="AK114" s="52"/>
      <c r="AL114" s="52"/>
      <c r="AM114" s="52" t="b">
        <v>0</v>
      </c>
      <c r="AN114" s="52"/>
      <c r="AO114" s="52"/>
      <c r="AP114" s="52"/>
      <c r="AQ114" s="52"/>
      <c r="AR114" s="52"/>
      <c r="AS114" s="52" t="b">
        <v>0</v>
      </c>
      <c r="AT114" s="52"/>
      <c r="AU114" s="52"/>
      <c r="AV114" s="52"/>
      <c r="AW114" s="52"/>
      <c r="AX114" s="52" t="str">
        <f t="shared" si="55"/>
        <v>ملتزم</v>
      </c>
      <c r="AY114" s="52" t="s">
        <v>69</v>
      </c>
      <c r="AZ114" s="43" t="s">
        <v>107</v>
      </c>
      <c r="BA114" s="70"/>
      <c r="BB114" s="70"/>
      <c r="BC114" s="70"/>
      <c r="BD114" s="52"/>
      <c r="BE114" s="68">
        <v>15420</v>
      </c>
      <c r="BF114" s="52"/>
      <c r="BG114" s="52"/>
      <c r="BH114" s="52"/>
      <c r="BI114" s="54" t="s">
        <v>72</v>
      </c>
      <c r="BJ114" s="54">
        <f>(U114+V114+AE114)-BD114-BE114</f>
        <v>12080</v>
      </c>
      <c r="BK114" s="52"/>
    </row>
    <row r="115" spans="1:63" ht="34.5" hidden="1" customHeight="1" x14ac:dyDescent="0.25">
      <c r="A115" s="35">
        <f t="shared" ref="A115:A175" si="64">1+A114</f>
        <v>18</v>
      </c>
      <c r="B115" s="35" t="s">
        <v>263</v>
      </c>
      <c r="C115" s="35"/>
      <c r="D115" s="37" t="s">
        <v>134</v>
      </c>
      <c r="E115" s="37" t="b">
        <v>0</v>
      </c>
      <c r="F115" s="37"/>
      <c r="G115" s="65"/>
      <c r="H115" s="35">
        <v>1</v>
      </c>
      <c r="I115" s="35" t="s">
        <v>264</v>
      </c>
      <c r="J115" s="85"/>
      <c r="K115" s="85"/>
      <c r="L115" s="81"/>
      <c r="M115" s="81"/>
      <c r="N115" s="35" t="s">
        <v>64</v>
      </c>
      <c r="O115" s="42" t="s">
        <v>214</v>
      </c>
      <c r="P115" s="35"/>
      <c r="Q115" s="35"/>
      <c r="R115" s="35">
        <f>P115*Q115</f>
        <v>0</v>
      </c>
      <c r="S115" s="43">
        <v>60000</v>
      </c>
      <c r="T115" s="44">
        <f t="shared" si="62"/>
        <v>6000</v>
      </c>
      <c r="U115" s="63">
        <f t="shared" si="61"/>
        <v>66000</v>
      </c>
      <c r="V115" s="106"/>
      <c r="W115" s="106"/>
      <c r="X115" s="52">
        <v>0</v>
      </c>
      <c r="Y115" s="48">
        <f t="shared" si="54"/>
        <v>0</v>
      </c>
      <c r="Z115" s="69">
        <v>0</v>
      </c>
      <c r="AA115" s="50">
        <f t="shared" si="59"/>
        <v>0</v>
      </c>
      <c r="AB115" s="50"/>
      <c r="AC115" s="52">
        <v>46384</v>
      </c>
      <c r="AD115" s="52">
        <f>S115*1.15-AC115</f>
        <v>22616</v>
      </c>
      <c r="AE115" s="73">
        <f>S115*1.15+X115-AB115-AC115</f>
        <v>22616</v>
      </c>
      <c r="AF115" s="52" t="b">
        <v>0</v>
      </c>
      <c r="AG115" s="52"/>
      <c r="AH115" s="52"/>
      <c r="AI115" s="52"/>
      <c r="AJ115" s="52"/>
      <c r="AK115" s="52"/>
      <c r="AL115" s="52"/>
      <c r="AM115" s="52" t="b">
        <v>0</v>
      </c>
      <c r="AN115" s="52"/>
      <c r="AO115" s="52"/>
      <c r="AP115" s="52"/>
      <c r="AQ115" s="52"/>
      <c r="AR115" s="52"/>
      <c r="AS115" s="52" t="b">
        <v>0</v>
      </c>
      <c r="AT115" s="52"/>
      <c r="AU115" s="52"/>
      <c r="AV115" s="52"/>
      <c r="AW115" s="52"/>
      <c r="AX115" s="52" t="str">
        <f t="shared" si="55"/>
        <v>غير ملتزم</v>
      </c>
      <c r="AY115" s="54" t="s">
        <v>140</v>
      </c>
      <c r="AZ115" s="43" t="s">
        <v>78</v>
      </c>
      <c r="BA115" s="55" t="s">
        <v>265</v>
      </c>
      <c r="BB115" s="55"/>
      <c r="BC115" s="55"/>
      <c r="BD115" s="54"/>
      <c r="BE115" s="54"/>
      <c r="BF115" s="54"/>
      <c r="BG115" s="54"/>
      <c r="BH115" s="54"/>
      <c r="BI115" s="54" t="s">
        <v>76</v>
      </c>
      <c r="BJ115" s="54">
        <f>(U115+V115+AE115)-BD115-BE115</f>
        <v>88616</v>
      </c>
      <c r="BK115" s="54"/>
    </row>
    <row r="116" spans="1:63" ht="34.5" hidden="1" customHeight="1" x14ac:dyDescent="0.25">
      <c r="A116" s="35">
        <f t="shared" si="64"/>
        <v>19</v>
      </c>
      <c r="B116" s="57" t="s">
        <v>266</v>
      </c>
      <c r="C116" s="57"/>
      <c r="D116" s="37" t="s">
        <v>100</v>
      </c>
      <c r="E116" s="37" t="b">
        <v>0</v>
      </c>
      <c r="F116" s="37"/>
      <c r="G116" s="141"/>
      <c r="H116" s="42">
        <v>1</v>
      </c>
      <c r="I116" s="42">
        <v>26</v>
      </c>
      <c r="J116" s="61"/>
      <c r="K116" s="61"/>
      <c r="L116" s="61"/>
      <c r="M116" s="61"/>
      <c r="N116" s="35" t="s">
        <v>73</v>
      </c>
      <c r="O116" s="42" t="s">
        <v>74</v>
      </c>
      <c r="P116" s="35"/>
      <c r="Q116" s="35"/>
      <c r="R116" s="35">
        <v>23.4</v>
      </c>
      <c r="S116" s="62">
        <v>22000</v>
      </c>
      <c r="T116" s="44">
        <f t="shared" si="62"/>
        <v>2200</v>
      </c>
      <c r="U116" s="63">
        <f t="shared" si="61"/>
        <v>24200</v>
      </c>
      <c r="V116" s="64"/>
      <c r="W116" s="64"/>
      <c r="X116" s="47"/>
      <c r="Y116" s="48">
        <f t="shared" si="54"/>
        <v>0</v>
      </c>
      <c r="Z116" s="49">
        <v>0</v>
      </c>
      <c r="AA116" s="50">
        <f t="shared" si="59"/>
        <v>0</v>
      </c>
      <c r="AB116" s="50"/>
      <c r="AC116" s="51">
        <v>25300</v>
      </c>
      <c r="AD116" s="52">
        <f>S116*1.15-AC116</f>
        <v>0</v>
      </c>
      <c r="AE116" s="53">
        <f>S116*1.15+X116-AB116-AC116</f>
        <v>0</v>
      </c>
      <c r="AF116" s="52" t="b">
        <v>1</v>
      </c>
      <c r="AG116" s="52" t="s">
        <v>67</v>
      </c>
      <c r="AH116" s="52">
        <v>6830</v>
      </c>
      <c r="AI116" s="52" t="s">
        <v>68</v>
      </c>
      <c r="AJ116" s="52" t="s">
        <v>136</v>
      </c>
      <c r="AK116" s="116" t="s">
        <v>267</v>
      </c>
      <c r="AL116" s="116"/>
      <c r="AM116" s="52" t="b">
        <v>0</v>
      </c>
      <c r="AN116" s="117">
        <v>45971</v>
      </c>
      <c r="AO116" s="52">
        <v>6830</v>
      </c>
      <c r="AP116" s="52"/>
      <c r="AQ116" s="52"/>
      <c r="AR116" s="52"/>
      <c r="AS116" s="52" t="b">
        <v>0</v>
      </c>
      <c r="AT116" s="118"/>
      <c r="AU116" s="52"/>
      <c r="AV116" s="52"/>
      <c r="AW116" s="52"/>
      <c r="AX116" s="52" t="str">
        <f t="shared" si="55"/>
        <v>ملتزم</v>
      </c>
      <c r="AY116" s="54" t="s">
        <v>77</v>
      </c>
      <c r="AZ116" s="43"/>
      <c r="BA116" s="70"/>
      <c r="BB116" s="70"/>
      <c r="BC116" s="70"/>
      <c r="BD116" s="54"/>
      <c r="BE116" s="68">
        <v>0</v>
      </c>
      <c r="BF116" s="54"/>
      <c r="BG116" s="54"/>
      <c r="BH116" s="54"/>
      <c r="BI116" s="54" t="s">
        <v>76</v>
      </c>
      <c r="BJ116" s="54">
        <f>(U116+V116+AE116)-BD116-BE116</f>
        <v>24200</v>
      </c>
      <c r="BK116" s="54"/>
    </row>
    <row r="117" spans="1:63" ht="34.5" hidden="1" customHeight="1" x14ac:dyDescent="0.25">
      <c r="A117" s="35">
        <f t="shared" si="64"/>
        <v>20</v>
      </c>
      <c r="B117" s="35" t="s">
        <v>268</v>
      </c>
      <c r="C117" s="35">
        <v>20801258428</v>
      </c>
      <c r="D117" s="37" t="s">
        <v>100</v>
      </c>
      <c r="E117" s="37" t="b">
        <v>0</v>
      </c>
      <c r="F117" s="37"/>
      <c r="G117" s="65"/>
      <c r="H117" s="35">
        <v>1</v>
      </c>
      <c r="I117" s="35">
        <v>144</v>
      </c>
      <c r="J117" s="95">
        <v>27030</v>
      </c>
      <c r="K117" s="87">
        <v>7005432310</v>
      </c>
      <c r="L117" s="87">
        <v>559558794</v>
      </c>
      <c r="M117" s="81">
        <v>2152770414</v>
      </c>
      <c r="N117" s="35" t="s">
        <v>64</v>
      </c>
      <c r="O117" s="42" t="s">
        <v>84</v>
      </c>
      <c r="P117" s="35">
        <v>9.8000000000000007</v>
      </c>
      <c r="Q117" s="35">
        <v>8.6999999999999993</v>
      </c>
      <c r="R117" s="35">
        <f t="shared" ref="R117:R138" si="65">P117*Q117</f>
        <v>85.26</v>
      </c>
      <c r="S117" s="43">
        <v>30000</v>
      </c>
      <c r="T117" s="44"/>
      <c r="U117" s="45"/>
      <c r="V117" s="46">
        <v>42630</v>
      </c>
      <c r="W117" s="46"/>
      <c r="X117" s="54">
        <v>31525</v>
      </c>
      <c r="Y117" s="89">
        <f t="shared" si="54"/>
        <v>27413.043478260872</v>
      </c>
      <c r="Z117" s="96">
        <v>0</v>
      </c>
      <c r="AA117" s="91">
        <f t="shared" si="59"/>
        <v>0</v>
      </c>
      <c r="AB117" s="91"/>
      <c r="AC117" s="54">
        <v>0</v>
      </c>
      <c r="AD117" s="54">
        <f>S117*1.15-AC117</f>
        <v>34500</v>
      </c>
      <c r="AE117" s="53">
        <f>S117*1.15+X117-AB117-AC117</f>
        <v>66025</v>
      </c>
      <c r="AF117" s="54" t="b">
        <v>0</v>
      </c>
      <c r="AG117" s="54"/>
      <c r="AH117" s="54"/>
      <c r="AI117" s="54"/>
      <c r="AJ117" s="54"/>
      <c r="AK117" s="54"/>
      <c r="AL117" s="54"/>
      <c r="AM117" s="54" t="b">
        <v>0</v>
      </c>
      <c r="AN117" s="54"/>
      <c r="AO117" s="54"/>
      <c r="AP117" s="54"/>
      <c r="AQ117" s="54"/>
      <c r="AR117" s="54"/>
      <c r="AS117" s="54" t="b">
        <v>0</v>
      </c>
      <c r="AT117" s="54"/>
      <c r="AU117" s="54"/>
      <c r="AV117" s="54"/>
      <c r="AW117" s="54"/>
      <c r="AX117" s="54" t="str">
        <f t="shared" si="55"/>
        <v>غير ملتزم</v>
      </c>
      <c r="AY117" s="54" t="s">
        <v>69</v>
      </c>
      <c r="AZ117" s="43" t="s">
        <v>70</v>
      </c>
      <c r="BA117" s="55" t="s">
        <v>75</v>
      </c>
      <c r="BB117" s="55"/>
      <c r="BC117" s="55"/>
      <c r="BD117" s="54"/>
      <c r="BE117" s="54"/>
      <c r="BF117" s="54"/>
      <c r="BG117" s="54"/>
      <c r="BH117" s="54"/>
      <c r="BI117" s="54" t="s">
        <v>76</v>
      </c>
      <c r="BJ117" s="54">
        <f>(U117+V117+AE117)-BD117-BE117</f>
        <v>108655</v>
      </c>
      <c r="BK117" s="54"/>
    </row>
    <row r="118" spans="1:63" ht="34.5" hidden="1" customHeight="1" x14ac:dyDescent="0.25">
      <c r="A118" s="35">
        <f t="shared" si="64"/>
        <v>21</v>
      </c>
      <c r="B118" s="35" t="s">
        <v>268</v>
      </c>
      <c r="C118" s="35">
        <v>20667226699</v>
      </c>
      <c r="D118" s="37" t="s">
        <v>100</v>
      </c>
      <c r="E118" s="37" t="b">
        <v>0</v>
      </c>
      <c r="F118" s="37"/>
      <c r="G118" s="65">
        <v>45657</v>
      </c>
      <c r="H118" s="35">
        <v>1</v>
      </c>
      <c r="I118" s="35">
        <v>145</v>
      </c>
      <c r="J118" s="95">
        <v>27030</v>
      </c>
      <c r="K118" s="87">
        <v>7005432310</v>
      </c>
      <c r="L118" s="87">
        <v>559558794</v>
      </c>
      <c r="M118" s="81">
        <v>2152770414</v>
      </c>
      <c r="N118" s="35" t="s">
        <v>64</v>
      </c>
      <c r="O118" s="42" t="s">
        <v>84</v>
      </c>
      <c r="P118" s="35">
        <v>9.8000000000000007</v>
      </c>
      <c r="Q118" s="35">
        <v>8.6999999999999993</v>
      </c>
      <c r="R118" s="35">
        <f t="shared" si="65"/>
        <v>85.26</v>
      </c>
      <c r="S118" s="43">
        <v>30000</v>
      </c>
      <c r="T118" s="44"/>
      <c r="U118" s="45"/>
      <c r="V118" s="46">
        <v>42630</v>
      </c>
      <c r="W118" s="46"/>
      <c r="X118" s="54">
        <v>17500</v>
      </c>
      <c r="Y118" s="89">
        <f t="shared" si="54"/>
        <v>15217.391304347828</v>
      </c>
      <c r="Z118" s="96">
        <v>0</v>
      </c>
      <c r="AA118" s="91">
        <f t="shared" si="59"/>
        <v>0</v>
      </c>
      <c r="AB118" s="91"/>
      <c r="AC118" s="54">
        <v>0</v>
      </c>
      <c r="AD118" s="54">
        <f>S118*1.15-AC118</f>
        <v>34500</v>
      </c>
      <c r="AE118" s="53">
        <f>S118*1.15+X118-AB118-AC118</f>
        <v>52000</v>
      </c>
      <c r="AF118" s="54" t="b">
        <v>0</v>
      </c>
      <c r="AG118" s="54"/>
      <c r="AH118" s="54"/>
      <c r="AI118" s="54"/>
      <c r="AJ118" s="54"/>
      <c r="AK118" s="54"/>
      <c r="AL118" s="54"/>
      <c r="AM118" s="54" t="b">
        <v>0</v>
      </c>
      <c r="AN118" s="54"/>
      <c r="AO118" s="54"/>
      <c r="AP118" s="54"/>
      <c r="AQ118" s="54"/>
      <c r="AR118" s="54"/>
      <c r="AS118" s="54" t="b">
        <v>0</v>
      </c>
      <c r="AT118" s="54"/>
      <c r="AU118" s="54"/>
      <c r="AV118" s="54"/>
      <c r="AW118" s="54"/>
      <c r="AX118" s="54" t="str">
        <f t="shared" si="55"/>
        <v>غير ملتزم</v>
      </c>
      <c r="AY118" s="54" t="s">
        <v>69</v>
      </c>
      <c r="AZ118" s="43" t="s">
        <v>70</v>
      </c>
      <c r="BA118" s="55" t="s">
        <v>75</v>
      </c>
      <c r="BB118" s="55"/>
      <c r="BC118" s="55"/>
      <c r="BD118" s="54"/>
      <c r="BE118" s="54"/>
      <c r="BF118" s="54"/>
      <c r="BG118" s="54"/>
      <c r="BH118" s="54"/>
      <c r="BI118" s="54" t="s">
        <v>76</v>
      </c>
      <c r="BJ118" s="54">
        <f>(U118+V118+AE118)-BD118-BE118</f>
        <v>94630</v>
      </c>
      <c r="BK118" s="54"/>
    </row>
    <row r="119" spans="1:63" ht="34.5" hidden="1" customHeight="1" x14ac:dyDescent="0.25">
      <c r="A119" s="35">
        <f t="shared" si="64"/>
        <v>22</v>
      </c>
      <c r="B119" s="35" t="s">
        <v>269</v>
      </c>
      <c r="C119" s="111">
        <v>20471882423</v>
      </c>
      <c r="D119" s="37" t="s">
        <v>106</v>
      </c>
      <c r="E119" s="37" t="b">
        <v>0</v>
      </c>
      <c r="F119" s="37"/>
      <c r="G119" s="65">
        <v>46022</v>
      </c>
      <c r="H119" s="35">
        <v>2</v>
      </c>
      <c r="I119" s="35" t="s">
        <v>270</v>
      </c>
      <c r="J119" s="95" t="s">
        <v>271</v>
      </c>
      <c r="K119" s="81"/>
      <c r="L119" s="81"/>
      <c r="M119" s="81">
        <v>2045973563</v>
      </c>
      <c r="N119" s="35" t="s">
        <v>64</v>
      </c>
      <c r="O119" s="42" t="s">
        <v>97</v>
      </c>
      <c r="P119" s="35">
        <v>14.3</v>
      </c>
      <c r="Q119" s="35">
        <v>4.1500000000000004</v>
      </c>
      <c r="R119" s="35">
        <f t="shared" si="65"/>
        <v>59.345000000000006</v>
      </c>
      <c r="S119" s="43">
        <v>62200</v>
      </c>
      <c r="T119" s="44">
        <f t="shared" ref="T119:T120" si="66">S119*10/100</f>
        <v>6220</v>
      </c>
      <c r="U119" s="63">
        <f t="shared" ref="U119:U120" si="67">S119+T119</f>
        <v>68420</v>
      </c>
      <c r="V119" s="106"/>
      <c r="W119" s="106"/>
      <c r="X119" s="52">
        <v>0</v>
      </c>
      <c r="Y119" s="48">
        <f t="shared" si="54"/>
        <v>0</v>
      </c>
      <c r="Z119" s="69">
        <v>0</v>
      </c>
      <c r="AA119" s="50">
        <f t="shared" si="59"/>
        <v>0</v>
      </c>
      <c r="AB119" s="50"/>
      <c r="AC119" s="52">
        <v>71530</v>
      </c>
      <c r="AD119" s="52">
        <f>S119*1.15-AC119</f>
        <v>0</v>
      </c>
      <c r="AE119" s="52">
        <f>S119*1.15+X119-AB119-AC119</f>
        <v>0</v>
      </c>
      <c r="AF119" s="52" t="b">
        <v>0</v>
      </c>
      <c r="AG119" s="52"/>
      <c r="AH119" s="52"/>
      <c r="AI119" s="52"/>
      <c r="AJ119" s="52"/>
      <c r="AK119" s="52"/>
      <c r="AL119" s="52"/>
      <c r="AM119" s="52" t="b">
        <v>0</v>
      </c>
      <c r="AN119" s="52"/>
      <c r="AO119" s="52"/>
      <c r="AP119" s="52"/>
      <c r="AQ119" s="52"/>
      <c r="AR119" s="52"/>
      <c r="AS119" s="52" t="b">
        <v>0</v>
      </c>
      <c r="AT119" s="52"/>
      <c r="AU119" s="52"/>
      <c r="AV119" s="52"/>
      <c r="AW119" s="52"/>
      <c r="AX119" s="52" t="str">
        <f t="shared" si="55"/>
        <v>ملتزم</v>
      </c>
      <c r="AY119" s="54" t="s">
        <v>69</v>
      </c>
      <c r="AZ119" s="43" t="s">
        <v>107</v>
      </c>
      <c r="BA119" s="55"/>
      <c r="BB119" s="55"/>
      <c r="BC119" s="55"/>
      <c r="BD119" s="54"/>
      <c r="BE119" s="68">
        <v>39456</v>
      </c>
      <c r="BF119" s="54"/>
      <c r="BG119" s="54"/>
      <c r="BH119" s="54"/>
      <c r="BI119" s="54" t="s">
        <v>112</v>
      </c>
      <c r="BJ119" s="54">
        <f>(U119+V119+AE119)-BD119-BE119</f>
        <v>28964</v>
      </c>
      <c r="BK119" s="54" t="s">
        <v>113</v>
      </c>
    </row>
    <row r="120" spans="1:63" ht="34.5" hidden="1" customHeight="1" x14ac:dyDescent="0.25">
      <c r="A120" s="35">
        <f t="shared" si="64"/>
        <v>23</v>
      </c>
      <c r="B120" s="35" t="s">
        <v>272</v>
      </c>
      <c r="C120" s="35">
        <v>20727013490</v>
      </c>
      <c r="D120" s="37" t="s">
        <v>106</v>
      </c>
      <c r="E120" s="37" t="b">
        <v>0</v>
      </c>
      <c r="F120" s="37"/>
      <c r="G120" s="65">
        <v>46022</v>
      </c>
      <c r="H120" s="35">
        <v>1</v>
      </c>
      <c r="I120" s="35">
        <v>119</v>
      </c>
      <c r="J120" s="95" t="s">
        <v>271</v>
      </c>
      <c r="K120" s="81">
        <v>7006480805</v>
      </c>
      <c r="L120" s="81">
        <v>555005431</v>
      </c>
      <c r="M120" s="81">
        <v>2045973563</v>
      </c>
      <c r="N120" s="35" t="s">
        <v>64</v>
      </c>
      <c r="O120" s="42" t="s">
        <v>84</v>
      </c>
      <c r="P120" s="35">
        <v>10.199999999999999</v>
      </c>
      <c r="Q120" s="35">
        <v>7.8</v>
      </c>
      <c r="R120" s="35">
        <f t="shared" si="65"/>
        <v>79.559999999999988</v>
      </c>
      <c r="S120" s="43">
        <v>30000</v>
      </c>
      <c r="T120" s="44">
        <f t="shared" si="66"/>
        <v>3000</v>
      </c>
      <c r="U120" s="63">
        <f t="shared" si="67"/>
        <v>33000</v>
      </c>
      <c r="V120" s="129">
        <v>37500</v>
      </c>
      <c r="W120" s="129"/>
      <c r="X120" s="51"/>
      <c r="Y120" s="48">
        <f t="shared" si="54"/>
        <v>0</v>
      </c>
      <c r="Z120" s="49">
        <v>0</v>
      </c>
      <c r="AA120" s="50">
        <f t="shared" si="59"/>
        <v>0</v>
      </c>
      <c r="AB120" s="50"/>
      <c r="AC120" s="51">
        <v>34500</v>
      </c>
      <c r="AD120" s="52">
        <f>S120*1.15-AC120</f>
        <v>0</v>
      </c>
      <c r="AE120" s="53">
        <f>S120*1.15+X120-AB120-AC120</f>
        <v>0</v>
      </c>
      <c r="AF120" s="52" t="b">
        <v>0</v>
      </c>
      <c r="AG120" s="52"/>
      <c r="AH120" s="52"/>
      <c r="AI120" s="52"/>
      <c r="AJ120" s="52"/>
      <c r="AK120" s="52"/>
      <c r="AL120" s="52"/>
      <c r="AM120" s="52" t="b">
        <v>0</v>
      </c>
      <c r="AN120" s="52"/>
      <c r="AO120" s="52"/>
      <c r="AP120" s="52"/>
      <c r="AQ120" s="52"/>
      <c r="AR120" s="52"/>
      <c r="AS120" s="52" t="b">
        <v>0</v>
      </c>
      <c r="AT120" s="52"/>
      <c r="AU120" s="52"/>
      <c r="AV120" s="52"/>
      <c r="AW120" s="52"/>
      <c r="AX120" s="52" t="str">
        <f t="shared" si="55"/>
        <v>ملتزم</v>
      </c>
      <c r="AY120" s="54" t="s">
        <v>192</v>
      </c>
      <c r="AZ120" s="43" t="s">
        <v>107</v>
      </c>
      <c r="BA120" s="55"/>
      <c r="BB120" s="55"/>
      <c r="BC120" s="55"/>
      <c r="BD120" s="54"/>
      <c r="BE120" s="54"/>
      <c r="BF120" s="54"/>
      <c r="BG120" s="54"/>
      <c r="BH120" s="54"/>
      <c r="BI120" s="54" t="s">
        <v>72</v>
      </c>
      <c r="BJ120" s="54">
        <f>(U120+V120+AE120)-BD120-BE120</f>
        <v>70500</v>
      </c>
      <c r="BK120" s="54"/>
    </row>
    <row r="121" spans="1:63" ht="34.5" hidden="1" customHeight="1" x14ac:dyDescent="0.25">
      <c r="A121" s="35">
        <f t="shared" si="64"/>
        <v>24</v>
      </c>
      <c r="B121" s="35" t="s">
        <v>273</v>
      </c>
      <c r="C121" s="108"/>
      <c r="D121" s="37" t="s">
        <v>106</v>
      </c>
      <c r="E121" s="37" t="b">
        <v>0</v>
      </c>
      <c r="F121" s="37"/>
      <c r="G121" s="65">
        <v>46022</v>
      </c>
      <c r="H121" s="35">
        <v>3</v>
      </c>
      <c r="I121" s="35" t="s">
        <v>274</v>
      </c>
      <c r="J121" s="95" t="s">
        <v>275</v>
      </c>
      <c r="K121" s="87">
        <v>4030250121</v>
      </c>
      <c r="L121" s="87">
        <v>565651144</v>
      </c>
      <c r="M121" s="81">
        <v>1010920336</v>
      </c>
      <c r="N121" s="35" t="s">
        <v>64</v>
      </c>
      <c r="O121" s="42" t="s">
        <v>97</v>
      </c>
      <c r="P121" s="35">
        <v>17.55</v>
      </c>
      <c r="Q121" s="35">
        <v>10.1</v>
      </c>
      <c r="R121" s="35">
        <f t="shared" si="65"/>
        <v>177.255</v>
      </c>
      <c r="S121" s="43">
        <v>122000</v>
      </c>
      <c r="T121" s="44">
        <v>20533</v>
      </c>
      <c r="U121" s="63">
        <v>142600</v>
      </c>
      <c r="V121" s="106"/>
      <c r="W121" s="106"/>
      <c r="X121" s="52">
        <v>0</v>
      </c>
      <c r="Y121" s="48">
        <f t="shared" si="54"/>
        <v>0</v>
      </c>
      <c r="Z121" s="69">
        <v>0</v>
      </c>
      <c r="AA121" s="50">
        <f t="shared" si="59"/>
        <v>0</v>
      </c>
      <c r="AB121" s="50">
        <v>0</v>
      </c>
      <c r="AC121" s="52">
        <v>140300</v>
      </c>
      <c r="AD121" s="52">
        <f>S121*1.15-AC121</f>
        <v>0</v>
      </c>
      <c r="AE121" s="53">
        <f>S121*1.15+X121-AB121-AC121</f>
        <v>0</v>
      </c>
      <c r="AF121" s="52" t="b">
        <v>0</v>
      </c>
      <c r="AG121" s="52"/>
      <c r="AH121" s="52"/>
      <c r="AI121" s="52"/>
      <c r="AJ121" s="52"/>
      <c r="AK121" s="52"/>
      <c r="AL121" s="52"/>
      <c r="AM121" s="52" t="b">
        <v>0</v>
      </c>
      <c r="AN121" s="52"/>
      <c r="AO121" s="52"/>
      <c r="AP121" s="52"/>
      <c r="AQ121" s="52"/>
      <c r="AR121" s="52"/>
      <c r="AS121" s="52" t="b">
        <v>0</v>
      </c>
      <c r="AT121" s="52"/>
      <c r="AU121" s="52"/>
      <c r="AV121" s="52"/>
      <c r="AW121" s="52"/>
      <c r="AX121" s="52" t="str">
        <f t="shared" si="55"/>
        <v>ملتزم</v>
      </c>
      <c r="AY121" s="54" t="s">
        <v>69</v>
      </c>
      <c r="AZ121" s="43" t="s">
        <v>107</v>
      </c>
      <c r="BA121" s="55"/>
      <c r="BB121" s="55"/>
      <c r="BC121" s="55"/>
      <c r="BD121" s="54"/>
      <c r="BE121" s="68">
        <v>81995</v>
      </c>
      <c r="BF121" s="54"/>
      <c r="BG121" s="54"/>
      <c r="BH121" s="54"/>
      <c r="BI121" s="54" t="s">
        <v>76</v>
      </c>
      <c r="BJ121" s="54">
        <f>(U121+V121+AE121)-BD121-BE121</f>
        <v>60605</v>
      </c>
      <c r="BK121" s="54"/>
    </row>
    <row r="122" spans="1:63" ht="34.5" hidden="1" customHeight="1" x14ac:dyDescent="0.25">
      <c r="A122" s="35">
        <f t="shared" si="64"/>
        <v>25</v>
      </c>
      <c r="B122" s="35" t="s">
        <v>276</v>
      </c>
      <c r="C122" s="105">
        <v>20262597818</v>
      </c>
      <c r="D122" s="37" t="s">
        <v>106</v>
      </c>
      <c r="E122" s="37" t="b">
        <v>0</v>
      </c>
      <c r="F122" s="37"/>
      <c r="G122" s="113">
        <v>46022</v>
      </c>
      <c r="H122" s="35">
        <v>1</v>
      </c>
      <c r="I122" s="35">
        <v>246</v>
      </c>
      <c r="J122" s="110">
        <v>30682</v>
      </c>
      <c r="K122" s="114">
        <v>7005102848</v>
      </c>
      <c r="L122" s="114">
        <v>535862774</v>
      </c>
      <c r="M122" s="81">
        <v>2232920831</v>
      </c>
      <c r="N122" s="35" t="s">
        <v>73</v>
      </c>
      <c r="O122" s="35" t="s">
        <v>97</v>
      </c>
      <c r="P122" s="35">
        <v>4</v>
      </c>
      <c r="Q122" s="35">
        <v>4</v>
      </c>
      <c r="R122" s="35">
        <f t="shared" si="65"/>
        <v>16</v>
      </c>
      <c r="S122" s="44">
        <v>30000</v>
      </c>
      <c r="T122" s="44">
        <f t="shared" ref="T122:T128" si="68">S122*10/100</f>
        <v>3000</v>
      </c>
      <c r="U122" s="63">
        <f>S122+T122+200</f>
        <v>33200</v>
      </c>
      <c r="V122" s="44"/>
      <c r="W122" s="44"/>
      <c r="X122" s="115">
        <v>0</v>
      </c>
      <c r="Y122" s="89">
        <f t="shared" si="54"/>
        <v>0</v>
      </c>
      <c r="Z122" s="91">
        <v>0</v>
      </c>
      <c r="AA122" s="91">
        <v>0</v>
      </c>
      <c r="AB122" s="91"/>
      <c r="AC122" s="54">
        <v>34500</v>
      </c>
      <c r="AD122" s="54">
        <f>S122*1.15-AC122</f>
        <v>0</v>
      </c>
      <c r="AE122" s="53">
        <f>S122*1.15+X122-AB122-AC122</f>
        <v>0</v>
      </c>
      <c r="AF122" s="54" t="b">
        <v>1</v>
      </c>
      <c r="AG122" s="134">
        <v>45667</v>
      </c>
      <c r="AH122" s="54">
        <v>19090</v>
      </c>
      <c r="AI122" s="54" t="s">
        <v>68</v>
      </c>
      <c r="AJ122" s="52" t="s">
        <v>136</v>
      </c>
      <c r="AK122" s="128" t="s">
        <v>277</v>
      </c>
      <c r="AL122" s="128"/>
      <c r="AM122" s="54" t="b">
        <v>0</v>
      </c>
      <c r="AN122" s="117">
        <v>45971</v>
      </c>
      <c r="AO122" s="54">
        <v>19090</v>
      </c>
      <c r="AP122" s="54"/>
      <c r="AQ122" s="54"/>
      <c r="AR122" s="54"/>
      <c r="AS122" s="54" t="b">
        <v>0</v>
      </c>
      <c r="AT122" s="54"/>
      <c r="AU122" s="54"/>
      <c r="AV122" s="54"/>
      <c r="AW122" s="54"/>
      <c r="AX122" s="54" t="str">
        <f t="shared" si="55"/>
        <v>ملتزم</v>
      </c>
      <c r="AY122" s="54" t="s">
        <v>77</v>
      </c>
      <c r="AZ122" s="43" t="s">
        <v>107</v>
      </c>
      <c r="BA122" s="55"/>
      <c r="BB122" s="55"/>
      <c r="BC122" s="55"/>
      <c r="BD122" s="54"/>
      <c r="BE122" s="68">
        <v>18974</v>
      </c>
      <c r="BF122" s="54"/>
      <c r="BG122" s="54"/>
      <c r="BH122" s="54"/>
      <c r="BI122" s="54" t="s">
        <v>112</v>
      </c>
      <c r="BJ122" s="54">
        <f>(U122+V122+AE122)-BD122-BE122</f>
        <v>14226</v>
      </c>
      <c r="BK122" s="54" t="s">
        <v>113</v>
      </c>
    </row>
    <row r="123" spans="1:63" ht="34.5" hidden="1" customHeight="1" x14ac:dyDescent="0.25">
      <c r="A123" s="35">
        <f t="shared" si="64"/>
        <v>26</v>
      </c>
      <c r="B123" s="35" t="s">
        <v>278</v>
      </c>
      <c r="C123" s="105">
        <v>20338633316</v>
      </c>
      <c r="D123" s="37" t="s">
        <v>106</v>
      </c>
      <c r="E123" s="37" t="b">
        <v>0</v>
      </c>
      <c r="F123" s="37"/>
      <c r="G123" s="65">
        <v>46022</v>
      </c>
      <c r="H123" s="35">
        <v>2</v>
      </c>
      <c r="I123" s="35" t="s">
        <v>279</v>
      </c>
      <c r="J123" s="110">
        <v>31419</v>
      </c>
      <c r="K123" s="81">
        <v>7017187241</v>
      </c>
      <c r="L123" s="81">
        <v>546660338</v>
      </c>
      <c r="M123" s="81">
        <v>2031766955</v>
      </c>
      <c r="N123" s="35" t="s">
        <v>73</v>
      </c>
      <c r="O123" s="35" t="s">
        <v>97</v>
      </c>
      <c r="P123" s="35">
        <v>7</v>
      </c>
      <c r="Q123" s="35">
        <v>5</v>
      </c>
      <c r="R123" s="35">
        <f t="shared" si="65"/>
        <v>35</v>
      </c>
      <c r="S123" s="44">
        <v>60000</v>
      </c>
      <c r="T123" s="44">
        <f t="shared" si="68"/>
        <v>6000</v>
      </c>
      <c r="U123" s="63">
        <f t="shared" ref="U123:U128" si="69">S123+T123</f>
        <v>66000</v>
      </c>
      <c r="V123" s="106"/>
      <c r="W123" s="106"/>
      <c r="X123" s="52">
        <v>0</v>
      </c>
      <c r="Y123" s="48">
        <f t="shared" si="54"/>
        <v>0</v>
      </c>
      <c r="Z123" s="50">
        <v>0</v>
      </c>
      <c r="AA123" s="50">
        <f t="shared" ref="AA123:AA158" si="70">Z123/1.15</f>
        <v>0</v>
      </c>
      <c r="AB123" s="50"/>
      <c r="AC123" s="52">
        <v>69000</v>
      </c>
      <c r="AD123" s="52">
        <f>S123*1.15-AC123</f>
        <v>0</v>
      </c>
      <c r="AE123" s="53">
        <f>S123*1.15+X123-AB123-AC123</f>
        <v>0</v>
      </c>
      <c r="AF123" s="52" t="b">
        <v>0</v>
      </c>
      <c r="AG123" s="52"/>
      <c r="AH123" s="52"/>
      <c r="AI123" s="52"/>
      <c r="AJ123" s="52"/>
      <c r="AK123" s="52"/>
      <c r="AL123" s="52"/>
      <c r="AM123" s="52" t="b">
        <v>0</v>
      </c>
      <c r="AN123" s="52"/>
      <c r="AO123" s="52"/>
      <c r="AP123" s="52"/>
      <c r="AQ123" s="52"/>
      <c r="AR123" s="52"/>
      <c r="AS123" s="52" t="b">
        <v>0</v>
      </c>
      <c r="AT123" s="52"/>
      <c r="AU123" s="52"/>
      <c r="AV123" s="52"/>
      <c r="AW123" s="52"/>
      <c r="AX123" s="52" t="str">
        <f t="shared" si="55"/>
        <v>ملتزم</v>
      </c>
      <c r="AY123" s="54" t="s">
        <v>77</v>
      </c>
      <c r="AZ123" s="43" t="s">
        <v>107</v>
      </c>
      <c r="BA123" s="55"/>
      <c r="BB123" s="55"/>
      <c r="BC123" s="55"/>
      <c r="BD123" s="54"/>
      <c r="BE123" s="68">
        <v>38066</v>
      </c>
      <c r="BF123" s="54"/>
      <c r="BG123" s="54"/>
      <c r="BH123" s="54"/>
      <c r="BI123" s="54" t="s">
        <v>76</v>
      </c>
      <c r="BJ123" s="54">
        <f>(U123+V123+AE123)-BD123-BE123</f>
        <v>27934</v>
      </c>
      <c r="BK123" s="54"/>
    </row>
    <row r="124" spans="1:63" ht="34.5" hidden="1" customHeight="1" x14ac:dyDescent="0.25">
      <c r="A124" s="35">
        <f t="shared" si="64"/>
        <v>27</v>
      </c>
      <c r="B124" s="35" t="s">
        <v>280</v>
      </c>
      <c r="C124" s="35"/>
      <c r="D124" s="37" t="s">
        <v>106</v>
      </c>
      <c r="E124" s="122" t="b">
        <v>0</v>
      </c>
      <c r="F124" s="122"/>
      <c r="G124" s="65">
        <v>46022</v>
      </c>
      <c r="H124" s="35">
        <v>4</v>
      </c>
      <c r="I124" s="35" t="s">
        <v>281</v>
      </c>
      <c r="J124" s="95" t="s">
        <v>282</v>
      </c>
      <c r="K124" s="81">
        <v>7001380224</v>
      </c>
      <c r="L124" s="81">
        <v>569999373</v>
      </c>
      <c r="M124" s="81">
        <v>1008241430</v>
      </c>
      <c r="N124" s="35" t="s">
        <v>64</v>
      </c>
      <c r="O124" s="42" t="s">
        <v>84</v>
      </c>
      <c r="P124" s="35">
        <v>27.8</v>
      </c>
      <c r="Q124" s="35">
        <v>8.1</v>
      </c>
      <c r="R124" s="35">
        <f t="shared" si="65"/>
        <v>225.18</v>
      </c>
      <c r="S124" s="43">
        <v>62000</v>
      </c>
      <c r="T124" s="44">
        <f t="shared" si="68"/>
        <v>6200</v>
      </c>
      <c r="U124" s="63">
        <f t="shared" si="69"/>
        <v>68200</v>
      </c>
      <c r="V124" s="129">
        <v>101331</v>
      </c>
      <c r="W124" s="129"/>
      <c r="X124" s="52">
        <v>5243</v>
      </c>
      <c r="Y124" s="48">
        <f t="shared" si="54"/>
        <v>4559.130434782609</v>
      </c>
      <c r="Z124" s="69">
        <v>0</v>
      </c>
      <c r="AA124" s="50">
        <f t="shared" si="70"/>
        <v>0</v>
      </c>
      <c r="AB124" s="50"/>
      <c r="AC124" s="52">
        <v>71300</v>
      </c>
      <c r="AD124" s="52">
        <f>S124*1.15-AC124</f>
        <v>0</v>
      </c>
      <c r="AE124" s="53">
        <f>S124*1.15+X124-AB124-AC124</f>
        <v>5243</v>
      </c>
      <c r="AF124" s="52" t="b">
        <v>0</v>
      </c>
      <c r="AG124" s="52"/>
      <c r="AH124" s="52"/>
      <c r="AI124" s="52"/>
      <c r="AJ124" s="52"/>
      <c r="AK124" s="52"/>
      <c r="AL124" s="52"/>
      <c r="AM124" s="52" t="b">
        <v>0</v>
      </c>
      <c r="AN124" s="52"/>
      <c r="AO124" s="52"/>
      <c r="AP124" s="52"/>
      <c r="AQ124" s="52"/>
      <c r="AR124" s="52"/>
      <c r="AS124" s="52" t="b">
        <v>0</v>
      </c>
      <c r="AT124" s="52"/>
      <c r="AU124" s="52"/>
      <c r="AV124" s="52"/>
      <c r="AW124" s="52"/>
      <c r="AX124" s="52" t="str">
        <f t="shared" si="55"/>
        <v>غير ملتزم</v>
      </c>
      <c r="AY124" s="54" t="s">
        <v>69</v>
      </c>
      <c r="AZ124" s="43" t="s">
        <v>107</v>
      </c>
      <c r="BA124" s="55"/>
      <c r="BB124" s="55"/>
      <c r="BC124" s="55"/>
      <c r="BD124" s="54"/>
      <c r="BE124" s="54"/>
      <c r="BF124" s="54"/>
      <c r="BG124" s="54"/>
      <c r="BH124" s="54"/>
      <c r="BI124" s="54" t="s">
        <v>76</v>
      </c>
      <c r="BJ124" s="54">
        <f>(U124+V124+AE124)-BD124-BE124</f>
        <v>174774</v>
      </c>
      <c r="BK124" s="54"/>
    </row>
    <row r="125" spans="1:63" ht="34.5" hidden="1" customHeight="1" x14ac:dyDescent="0.25">
      <c r="A125" s="35">
        <f t="shared" si="64"/>
        <v>28</v>
      </c>
      <c r="B125" s="35" t="s">
        <v>280</v>
      </c>
      <c r="C125" s="105">
        <v>20206858732</v>
      </c>
      <c r="D125" s="37" t="s">
        <v>106</v>
      </c>
      <c r="E125" s="37" t="b">
        <v>0</v>
      </c>
      <c r="F125" s="37"/>
      <c r="G125" s="65">
        <v>46022</v>
      </c>
      <c r="H125" s="35">
        <v>5</v>
      </c>
      <c r="I125" s="35" t="s">
        <v>283</v>
      </c>
      <c r="J125" s="95" t="s">
        <v>282</v>
      </c>
      <c r="K125" s="87">
        <v>7001380224</v>
      </c>
      <c r="L125" s="87">
        <v>569999373</v>
      </c>
      <c r="M125" s="81">
        <v>1008241430</v>
      </c>
      <c r="N125" s="35" t="s">
        <v>73</v>
      </c>
      <c r="O125" s="35" t="s">
        <v>97</v>
      </c>
      <c r="P125" s="35">
        <v>18.7</v>
      </c>
      <c r="Q125" s="35">
        <v>9</v>
      </c>
      <c r="R125" s="35">
        <f t="shared" si="65"/>
        <v>168.29999999999998</v>
      </c>
      <c r="S125" s="43">
        <v>150000</v>
      </c>
      <c r="T125" s="44">
        <f t="shared" si="68"/>
        <v>15000</v>
      </c>
      <c r="U125" s="63">
        <f t="shared" si="69"/>
        <v>165000</v>
      </c>
      <c r="V125" s="106"/>
      <c r="W125" s="106"/>
      <c r="X125" s="45"/>
      <c r="Y125" s="48">
        <f t="shared" si="54"/>
        <v>0</v>
      </c>
      <c r="Z125" s="50">
        <v>0</v>
      </c>
      <c r="AA125" s="50">
        <f t="shared" si="70"/>
        <v>0</v>
      </c>
      <c r="AB125" s="50"/>
      <c r="AC125" s="52">
        <v>172500</v>
      </c>
      <c r="AD125" s="52">
        <f>S125*1.15-AC125</f>
        <v>0</v>
      </c>
      <c r="AE125" s="53">
        <f>S125*1.15+X125-AB125-AC125</f>
        <v>0</v>
      </c>
      <c r="AF125" s="52" t="b">
        <v>0</v>
      </c>
      <c r="AG125" s="52"/>
      <c r="AH125" s="52"/>
      <c r="AI125" s="52"/>
      <c r="AJ125" s="52"/>
      <c r="AK125" s="52"/>
      <c r="AL125" s="52"/>
      <c r="AM125" s="52" t="b">
        <v>0</v>
      </c>
      <c r="AN125" s="52"/>
      <c r="AO125" s="52"/>
      <c r="AP125" s="52"/>
      <c r="AQ125" s="52"/>
      <c r="AR125" s="52"/>
      <c r="AS125" s="52" t="b">
        <v>0</v>
      </c>
      <c r="AT125" s="52"/>
      <c r="AU125" s="52"/>
      <c r="AV125" s="52"/>
      <c r="AW125" s="52"/>
      <c r="AX125" s="52" t="str">
        <f t="shared" si="55"/>
        <v>ملتزم</v>
      </c>
      <c r="AY125" s="54" t="s">
        <v>69</v>
      </c>
      <c r="AZ125" s="43" t="s">
        <v>107</v>
      </c>
      <c r="BA125" s="55"/>
      <c r="BB125" s="55"/>
      <c r="BC125" s="55"/>
      <c r="BD125" s="54"/>
      <c r="BE125" s="68">
        <v>94990</v>
      </c>
      <c r="BF125" s="54"/>
      <c r="BG125" s="54"/>
      <c r="BH125" s="54"/>
      <c r="BI125" s="54" t="s">
        <v>76</v>
      </c>
      <c r="BJ125" s="54">
        <f>(U125+V125+AE125)-BD125-BE125</f>
        <v>70010</v>
      </c>
      <c r="BK125" s="54" t="s">
        <v>113</v>
      </c>
    </row>
    <row r="126" spans="1:63" ht="34.5" hidden="1" customHeight="1" x14ac:dyDescent="0.25">
      <c r="A126" s="35">
        <f t="shared" si="64"/>
        <v>29</v>
      </c>
      <c r="B126" s="57" t="s">
        <v>284</v>
      </c>
      <c r="C126" s="71"/>
      <c r="D126" s="37" t="s">
        <v>106</v>
      </c>
      <c r="E126" s="37" t="b">
        <v>0</v>
      </c>
      <c r="F126" s="37"/>
      <c r="G126" s="65">
        <v>46022</v>
      </c>
      <c r="H126" s="42">
        <v>1</v>
      </c>
      <c r="I126" s="42">
        <v>59</v>
      </c>
      <c r="J126" s="59" t="s">
        <v>282</v>
      </c>
      <c r="K126" s="61">
        <v>7001380224</v>
      </c>
      <c r="L126" s="61">
        <v>569999373</v>
      </c>
      <c r="M126" s="61">
        <v>1008241430</v>
      </c>
      <c r="N126" s="35" t="s">
        <v>73</v>
      </c>
      <c r="O126" s="42" t="s">
        <v>74</v>
      </c>
      <c r="P126" s="35">
        <v>12</v>
      </c>
      <c r="Q126" s="35">
        <v>3.8</v>
      </c>
      <c r="R126" s="35">
        <f t="shared" si="65"/>
        <v>45.599999999999994</v>
      </c>
      <c r="S126" s="62">
        <v>32000</v>
      </c>
      <c r="T126" s="44">
        <f t="shared" si="68"/>
        <v>3200</v>
      </c>
      <c r="U126" s="63">
        <f t="shared" si="69"/>
        <v>35200</v>
      </c>
      <c r="V126" s="99"/>
      <c r="W126" s="99"/>
      <c r="X126" s="52">
        <v>15525</v>
      </c>
      <c r="Y126" s="48">
        <f t="shared" si="54"/>
        <v>13500.000000000002</v>
      </c>
      <c r="Z126" s="69">
        <v>0</v>
      </c>
      <c r="AA126" s="50">
        <f t="shared" si="70"/>
        <v>0</v>
      </c>
      <c r="AB126" s="50">
        <v>15525</v>
      </c>
      <c r="AC126" s="52">
        <v>36800</v>
      </c>
      <c r="AD126" s="52">
        <f>S126*1.15-AC126</f>
        <v>0</v>
      </c>
      <c r="AE126" s="53">
        <f>S126*1.15+X126-AB126-AC126</f>
        <v>0</v>
      </c>
      <c r="AF126" s="52" t="b">
        <v>0</v>
      </c>
      <c r="AG126" s="52"/>
      <c r="AH126" s="52"/>
      <c r="AI126" s="52"/>
      <c r="AJ126" s="52"/>
      <c r="AK126" s="52"/>
      <c r="AL126" s="52"/>
      <c r="AM126" s="52" t="b">
        <v>0</v>
      </c>
      <c r="AN126" s="52"/>
      <c r="AO126" s="52"/>
      <c r="AP126" s="52"/>
      <c r="AQ126" s="52"/>
      <c r="AR126" s="52"/>
      <c r="AS126" s="52" t="b">
        <v>0</v>
      </c>
      <c r="AT126" s="52"/>
      <c r="AU126" s="52"/>
      <c r="AV126" s="52"/>
      <c r="AW126" s="52"/>
      <c r="AX126" s="52" t="str">
        <f t="shared" si="55"/>
        <v>ملتزم</v>
      </c>
      <c r="AY126" s="54" t="s">
        <v>77</v>
      </c>
      <c r="AZ126" s="43" t="s">
        <v>107</v>
      </c>
      <c r="BA126" s="55"/>
      <c r="BB126" s="55"/>
      <c r="BC126" s="55"/>
      <c r="BD126" s="54"/>
      <c r="BE126" s="68"/>
      <c r="BF126" s="54"/>
      <c r="BG126" s="54"/>
      <c r="BH126" s="54"/>
      <c r="BI126" s="54" t="s">
        <v>76</v>
      </c>
      <c r="BJ126" s="54">
        <f>(U126+V126+AE126)-BD126-BE126</f>
        <v>35200</v>
      </c>
      <c r="BK126" s="54"/>
    </row>
    <row r="127" spans="1:63" ht="34.5" hidden="1" customHeight="1" x14ac:dyDescent="0.25">
      <c r="A127" s="35">
        <f t="shared" si="64"/>
        <v>30</v>
      </c>
      <c r="B127" s="35" t="s">
        <v>285</v>
      </c>
      <c r="C127" s="111">
        <v>20321062014</v>
      </c>
      <c r="D127" s="37" t="s">
        <v>106</v>
      </c>
      <c r="E127" s="37" t="b">
        <v>0</v>
      </c>
      <c r="F127" s="37"/>
      <c r="G127" s="65">
        <v>46022</v>
      </c>
      <c r="H127" s="35">
        <v>2</v>
      </c>
      <c r="I127" s="35" t="s">
        <v>286</v>
      </c>
      <c r="J127" s="95" t="s">
        <v>287</v>
      </c>
      <c r="K127" s="81"/>
      <c r="L127" s="81"/>
      <c r="M127" s="81">
        <v>1026103604</v>
      </c>
      <c r="N127" s="35" t="s">
        <v>64</v>
      </c>
      <c r="O127" s="42" t="s">
        <v>97</v>
      </c>
      <c r="P127" s="35">
        <v>9.15</v>
      </c>
      <c r="Q127" s="35">
        <v>8.1</v>
      </c>
      <c r="R127" s="35">
        <f t="shared" si="65"/>
        <v>74.114999999999995</v>
      </c>
      <c r="S127" s="43">
        <v>80000</v>
      </c>
      <c r="T127" s="44">
        <f t="shared" si="68"/>
        <v>8000</v>
      </c>
      <c r="U127" s="63">
        <f t="shared" si="69"/>
        <v>88000</v>
      </c>
      <c r="V127" s="106"/>
      <c r="W127" s="106"/>
      <c r="X127" s="52">
        <v>0</v>
      </c>
      <c r="Y127" s="48">
        <f t="shared" si="54"/>
        <v>0</v>
      </c>
      <c r="Z127" s="69">
        <v>0</v>
      </c>
      <c r="AA127" s="50">
        <f t="shared" si="70"/>
        <v>0</v>
      </c>
      <c r="AB127" s="50"/>
      <c r="AC127" s="52">
        <v>92000</v>
      </c>
      <c r="AD127" s="52">
        <f>S127*1.15-AC127</f>
        <v>0</v>
      </c>
      <c r="AE127" s="52">
        <f>S127*1.15+X127-AB127-AC127</f>
        <v>0</v>
      </c>
      <c r="AF127" s="52" t="b">
        <v>0</v>
      </c>
      <c r="AG127" s="52"/>
      <c r="AH127" s="52"/>
      <c r="AI127" s="52"/>
      <c r="AJ127" s="52"/>
      <c r="AK127" s="52"/>
      <c r="AL127" s="52"/>
      <c r="AM127" s="52" t="b">
        <v>0</v>
      </c>
      <c r="AN127" s="52"/>
      <c r="AO127" s="52"/>
      <c r="AP127" s="52"/>
      <c r="AQ127" s="52"/>
      <c r="AR127" s="52"/>
      <c r="AS127" s="52" t="b">
        <v>0</v>
      </c>
      <c r="AT127" s="52"/>
      <c r="AU127" s="52"/>
      <c r="AV127" s="52"/>
      <c r="AW127" s="52"/>
      <c r="AX127" s="52" t="str">
        <f t="shared" si="55"/>
        <v>ملتزم</v>
      </c>
      <c r="AY127" s="54" t="s">
        <v>69</v>
      </c>
      <c r="AZ127" s="43" t="s">
        <v>107</v>
      </c>
      <c r="BA127" s="55"/>
      <c r="BB127" s="55"/>
      <c r="BC127" s="55"/>
      <c r="BD127" s="54"/>
      <c r="BE127" s="68">
        <v>50714</v>
      </c>
      <c r="BF127" s="54"/>
      <c r="BG127" s="54"/>
      <c r="BH127" s="54"/>
      <c r="BI127" s="54" t="s">
        <v>76</v>
      </c>
      <c r="BJ127" s="54">
        <f>(U127+V127+AE127)-BD127-BE127</f>
        <v>37286</v>
      </c>
      <c r="BK127" s="54"/>
    </row>
    <row r="128" spans="1:63" ht="34.5" hidden="1" customHeight="1" x14ac:dyDescent="0.25">
      <c r="A128" s="35">
        <f t="shared" si="64"/>
        <v>31</v>
      </c>
      <c r="B128" s="35" t="s">
        <v>288</v>
      </c>
      <c r="C128" s="35">
        <v>20243773981</v>
      </c>
      <c r="D128" s="37" t="s">
        <v>106</v>
      </c>
      <c r="E128" s="37" t="b">
        <v>0</v>
      </c>
      <c r="F128" s="37"/>
      <c r="G128" s="65">
        <v>46022</v>
      </c>
      <c r="H128" s="35">
        <v>1</v>
      </c>
      <c r="I128" s="35">
        <v>83</v>
      </c>
      <c r="J128" s="110">
        <v>27578</v>
      </c>
      <c r="K128" s="81">
        <v>7023801249</v>
      </c>
      <c r="L128" s="81">
        <v>54454427</v>
      </c>
      <c r="M128" s="81">
        <v>1027137585</v>
      </c>
      <c r="N128" s="35" t="s">
        <v>64</v>
      </c>
      <c r="O128" s="42" t="s">
        <v>65</v>
      </c>
      <c r="P128" s="35">
        <v>8.5</v>
      </c>
      <c r="Q128" s="35">
        <v>6.5</v>
      </c>
      <c r="R128" s="35">
        <f t="shared" si="65"/>
        <v>55.25</v>
      </c>
      <c r="S128" s="43">
        <v>25000</v>
      </c>
      <c r="T128" s="44">
        <f t="shared" si="68"/>
        <v>2500</v>
      </c>
      <c r="U128" s="63">
        <f t="shared" si="69"/>
        <v>27500</v>
      </c>
      <c r="V128" s="46">
        <v>28000</v>
      </c>
      <c r="W128" s="46"/>
      <c r="X128" s="51">
        <v>0</v>
      </c>
      <c r="Y128" s="48">
        <f t="shared" si="54"/>
        <v>0</v>
      </c>
      <c r="Z128" s="49">
        <v>0</v>
      </c>
      <c r="AA128" s="50">
        <f t="shared" si="70"/>
        <v>0</v>
      </c>
      <c r="AB128" s="50"/>
      <c r="AC128" s="51">
        <v>28750</v>
      </c>
      <c r="AD128" s="52">
        <f>S128*1.15-AC128</f>
        <v>0</v>
      </c>
      <c r="AE128" s="53">
        <f>S128*1.15+X128-AB128-AC128</f>
        <v>0</v>
      </c>
      <c r="AF128" s="52" t="b">
        <v>0</v>
      </c>
      <c r="AG128" s="52"/>
      <c r="AH128" s="52"/>
      <c r="AI128" s="52"/>
      <c r="AJ128" s="52"/>
      <c r="AK128" s="52"/>
      <c r="AL128" s="52"/>
      <c r="AM128" s="52" t="b">
        <v>0</v>
      </c>
      <c r="AN128" s="52"/>
      <c r="AO128" s="52"/>
      <c r="AP128" s="52"/>
      <c r="AQ128" s="52"/>
      <c r="AR128" s="52"/>
      <c r="AS128" s="52" t="b">
        <v>0</v>
      </c>
      <c r="AT128" s="52"/>
      <c r="AU128" s="52"/>
      <c r="AV128" s="52"/>
      <c r="AW128" s="52"/>
      <c r="AX128" s="52" t="str">
        <f t="shared" si="55"/>
        <v>ملتزم</v>
      </c>
      <c r="AY128" s="54" t="s">
        <v>77</v>
      </c>
      <c r="AZ128" s="43" t="s">
        <v>107</v>
      </c>
      <c r="BA128" s="70"/>
      <c r="BB128" s="70"/>
      <c r="BC128" s="70"/>
      <c r="BD128" s="54"/>
      <c r="BE128" s="54"/>
      <c r="BF128" s="54"/>
      <c r="BG128" s="54"/>
      <c r="BH128" s="54"/>
      <c r="BI128" s="54" t="s">
        <v>72</v>
      </c>
      <c r="BJ128" s="54">
        <f>(U128+V128+AE128)-BD128-BE128</f>
        <v>55500</v>
      </c>
      <c r="BK128" s="54"/>
    </row>
    <row r="129" spans="1:63" ht="34.5" hidden="1" customHeight="1" x14ac:dyDescent="0.25">
      <c r="A129" s="35">
        <f t="shared" si="64"/>
        <v>32</v>
      </c>
      <c r="B129" s="35" t="s">
        <v>289</v>
      </c>
      <c r="C129" s="35">
        <v>20258818524</v>
      </c>
      <c r="D129" s="37" t="s">
        <v>106</v>
      </c>
      <c r="E129" s="37" t="b">
        <v>0</v>
      </c>
      <c r="F129" s="37"/>
      <c r="G129" s="38">
        <v>46022</v>
      </c>
      <c r="H129" s="35">
        <v>1</v>
      </c>
      <c r="I129" s="35">
        <v>125</v>
      </c>
      <c r="J129" s="81" t="s">
        <v>290</v>
      </c>
      <c r="K129" s="87">
        <v>7006104652</v>
      </c>
      <c r="L129" s="87">
        <v>567669532</v>
      </c>
      <c r="M129" s="81">
        <v>2145506214</v>
      </c>
      <c r="N129" s="35" t="s">
        <v>64</v>
      </c>
      <c r="O129" s="42" t="s">
        <v>84</v>
      </c>
      <c r="P129" s="35">
        <v>7.9</v>
      </c>
      <c r="Q129" s="35">
        <v>7.9</v>
      </c>
      <c r="R129" s="35">
        <f t="shared" si="65"/>
        <v>62.410000000000004</v>
      </c>
      <c r="S129" s="43">
        <v>30000</v>
      </c>
      <c r="T129" s="44"/>
      <c r="U129" s="45"/>
      <c r="V129" s="46">
        <v>37500</v>
      </c>
      <c r="W129" s="46"/>
      <c r="X129" s="51">
        <v>0</v>
      </c>
      <c r="Y129" s="48">
        <f t="shared" si="54"/>
        <v>0</v>
      </c>
      <c r="Z129" s="49">
        <v>0</v>
      </c>
      <c r="AA129" s="50">
        <f t="shared" si="70"/>
        <v>0</v>
      </c>
      <c r="AB129" s="50"/>
      <c r="AC129" s="51">
        <v>34500</v>
      </c>
      <c r="AD129" s="52">
        <f>S129*1.15-AC129</f>
        <v>0</v>
      </c>
      <c r="AE129" s="53">
        <f>S129*1.15+X129-AB129-AC129</f>
        <v>0</v>
      </c>
      <c r="AF129" s="52" t="b">
        <v>0</v>
      </c>
      <c r="AG129" s="52"/>
      <c r="AH129" s="52"/>
      <c r="AI129" s="52"/>
      <c r="AJ129" s="52"/>
      <c r="AK129" s="52"/>
      <c r="AL129" s="52"/>
      <c r="AM129" s="52" t="b">
        <v>0</v>
      </c>
      <c r="AN129" s="52"/>
      <c r="AO129" s="52"/>
      <c r="AP129" s="52"/>
      <c r="AQ129" s="52"/>
      <c r="AR129" s="52"/>
      <c r="AS129" s="52" t="b">
        <v>0</v>
      </c>
      <c r="AT129" s="52"/>
      <c r="AU129" s="52"/>
      <c r="AV129" s="52"/>
      <c r="AW129" s="52"/>
      <c r="AX129" s="52" t="str">
        <f t="shared" si="55"/>
        <v>ملتزم</v>
      </c>
      <c r="AY129" s="52" t="s">
        <v>69</v>
      </c>
      <c r="AZ129" s="43" t="s">
        <v>107</v>
      </c>
      <c r="BA129" s="55"/>
      <c r="BB129" s="55"/>
      <c r="BC129" s="55"/>
      <c r="BD129" s="52"/>
      <c r="BE129" s="52"/>
      <c r="BF129" s="52"/>
      <c r="BG129" s="52"/>
      <c r="BH129" s="52"/>
      <c r="BI129" s="54" t="s">
        <v>72</v>
      </c>
      <c r="BJ129" s="54">
        <f>(U129+V129+AE129)-BD129-BE129</f>
        <v>37500</v>
      </c>
      <c r="BK129" s="52"/>
    </row>
    <row r="130" spans="1:63" ht="34.5" hidden="1" customHeight="1" x14ac:dyDescent="0.25">
      <c r="A130" s="35">
        <f t="shared" si="64"/>
        <v>33</v>
      </c>
      <c r="B130" s="35" t="s">
        <v>291</v>
      </c>
      <c r="C130" s="35">
        <v>20448528947</v>
      </c>
      <c r="D130" s="37" t="s">
        <v>106</v>
      </c>
      <c r="E130" s="37" t="b">
        <v>0</v>
      </c>
      <c r="F130" s="37"/>
      <c r="G130" s="65">
        <v>46022</v>
      </c>
      <c r="H130" s="35">
        <v>2</v>
      </c>
      <c r="I130" s="35" t="s">
        <v>292</v>
      </c>
      <c r="J130" s="95">
        <v>24869</v>
      </c>
      <c r="K130" s="81">
        <v>7002728751</v>
      </c>
      <c r="L130" s="81">
        <v>555165130</v>
      </c>
      <c r="M130" s="81">
        <v>2053782211</v>
      </c>
      <c r="N130" s="35" t="s">
        <v>64</v>
      </c>
      <c r="O130" s="42" t="s">
        <v>84</v>
      </c>
      <c r="P130" s="35">
        <v>17.5</v>
      </c>
      <c r="Q130" s="35">
        <v>7.9</v>
      </c>
      <c r="R130" s="35">
        <f t="shared" si="65"/>
        <v>138.25</v>
      </c>
      <c r="S130" s="43">
        <v>60000</v>
      </c>
      <c r="T130" s="44">
        <f t="shared" ref="T130:T132" si="71">S130*10/100</f>
        <v>6000</v>
      </c>
      <c r="U130" s="63">
        <f>S130+T130</f>
        <v>66000</v>
      </c>
      <c r="V130" s="46">
        <v>75000</v>
      </c>
      <c r="W130" s="46"/>
      <c r="X130" s="52"/>
      <c r="Y130" s="48">
        <f t="shared" si="54"/>
        <v>0</v>
      </c>
      <c r="Z130" s="69">
        <v>0</v>
      </c>
      <c r="AA130" s="50">
        <f t="shared" si="70"/>
        <v>0</v>
      </c>
      <c r="AB130" s="50">
        <v>0</v>
      </c>
      <c r="AC130" s="52">
        <v>69000</v>
      </c>
      <c r="AD130" s="52">
        <f>S130*1.15-AC130</f>
        <v>0</v>
      </c>
      <c r="AE130" s="53">
        <f>S130*1.15+X130-AB130-AC130</f>
        <v>0</v>
      </c>
      <c r="AF130" s="52" t="b">
        <v>0</v>
      </c>
      <c r="AG130" s="52"/>
      <c r="AH130" s="52"/>
      <c r="AI130" s="52"/>
      <c r="AJ130" s="52"/>
      <c r="AK130" s="52"/>
      <c r="AL130" s="52"/>
      <c r="AM130" s="52" t="b">
        <v>0</v>
      </c>
      <c r="AN130" s="52"/>
      <c r="AO130" s="52"/>
      <c r="AP130" s="52"/>
      <c r="AQ130" s="52"/>
      <c r="AR130" s="52"/>
      <c r="AS130" s="52" t="b">
        <v>0</v>
      </c>
      <c r="AT130" s="52"/>
      <c r="AU130" s="52"/>
      <c r="AV130" s="52"/>
      <c r="AW130" s="52"/>
      <c r="AX130" s="52" t="str">
        <f t="shared" si="55"/>
        <v>ملتزم</v>
      </c>
      <c r="AY130" s="54" t="s">
        <v>77</v>
      </c>
      <c r="AZ130" s="43" t="s">
        <v>107</v>
      </c>
      <c r="BA130" s="70"/>
      <c r="BB130" s="70"/>
      <c r="BC130" s="70"/>
      <c r="BD130" s="54"/>
      <c r="BE130" s="54"/>
      <c r="BF130" s="54"/>
      <c r="BG130" s="54"/>
      <c r="BH130" s="54"/>
      <c r="BI130" s="54" t="s">
        <v>72</v>
      </c>
      <c r="BJ130" s="54">
        <f>(U130+V130+AE130)-BD130-BE130</f>
        <v>141000</v>
      </c>
      <c r="BK130" s="54"/>
    </row>
    <row r="131" spans="1:63" ht="34.5" hidden="1" customHeight="1" x14ac:dyDescent="0.25">
      <c r="A131" s="35">
        <f t="shared" si="64"/>
        <v>34</v>
      </c>
      <c r="B131" s="35" t="s">
        <v>293</v>
      </c>
      <c r="C131" s="35"/>
      <c r="D131" s="37" t="s">
        <v>106</v>
      </c>
      <c r="E131" s="37" t="b">
        <v>0</v>
      </c>
      <c r="F131" s="37"/>
      <c r="G131" s="65">
        <v>46022</v>
      </c>
      <c r="H131" s="35">
        <v>1</v>
      </c>
      <c r="I131" s="125">
        <v>85</v>
      </c>
      <c r="J131" s="142">
        <v>18994</v>
      </c>
      <c r="K131" s="85">
        <v>7013769117</v>
      </c>
      <c r="L131" s="81">
        <v>504651813</v>
      </c>
      <c r="M131" s="81">
        <v>2042916441</v>
      </c>
      <c r="N131" s="35" t="s">
        <v>64</v>
      </c>
      <c r="O131" s="42" t="s">
        <v>65</v>
      </c>
      <c r="P131" s="35">
        <v>8.8000000000000007</v>
      </c>
      <c r="Q131" s="35">
        <v>6.7</v>
      </c>
      <c r="R131" s="35">
        <f t="shared" si="65"/>
        <v>58.960000000000008</v>
      </c>
      <c r="S131" s="43">
        <v>22100</v>
      </c>
      <c r="T131" s="44">
        <f t="shared" si="71"/>
        <v>2210</v>
      </c>
      <c r="U131" s="63"/>
      <c r="V131" s="46">
        <v>28000</v>
      </c>
      <c r="W131" s="46"/>
      <c r="X131" s="51">
        <v>0</v>
      </c>
      <c r="Y131" s="48">
        <f t="shared" si="54"/>
        <v>0</v>
      </c>
      <c r="Z131" s="49">
        <v>0</v>
      </c>
      <c r="AA131" s="50">
        <f t="shared" si="70"/>
        <v>0</v>
      </c>
      <c r="AB131" s="50"/>
      <c r="AC131" s="51">
        <v>25415</v>
      </c>
      <c r="AD131" s="43">
        <f>S131*1.15-AC131</f>
        <v>0</v>
      </c>
      <c r="AE131" s="53">
        <f>S131*1.15+X131-AB131-AC131</f>
        <v>0</v>
      </c>
      <c r="AF131" s="52" t="b">
        <v>0</v>
      </c>
      <c r="AG131" s="52"/>
      <c r="AH131" s="52"/>
      <c r="AI131" s="52"/>
      <c r="AJ131" s="52"/>
      <c r="AK131" s="52"/>
      <c r="AL131" s="52"/>
      <c r="AM131" s="52" t="b">
        <v>0</v>
      </c>
      <c r="AN131" s="52"/>
      <c r="AO131" s="52"/>
      <c r="AP131" s="52"/>
      <c r="AQ131" s="52"/>
      <c r="AR131" s="52"/>
      <c r="AS131" s="52" t="b">
        <v>0</v>
      </c>
      <c r="AT131" s="52"/>
      <c r="AU131" s="52"/>
      <c r="AV131" s="52"/>
      <c r="AW131" s="52"/>
      <c r="AX131" s="52" t="str">
        <f t="shared" si="55"/>
        <v>ملتزم</v>
      </c>
      <c r="AY131" s="54" t="s">
        <v>69</v>
      </c>
      <c r="AZ131" s="43" t="s">
        <v>107</v>
      </c>
      <c r="BA131" s="55"/>
      <c r="BB131" s="55"/>
      <c r="BC131" s="55"/>
      <c r="BD131" s="54"/>
      <c r="BE131" s="54"/>
      <c r="BF131" s="54"/>
      <c r="BG131" s="54"/>
      <c r="BH131" s="54"/>
      <c r="BI131" s="54" t="s">
        <v>76</v>
      </c>
      <c r="BJ131" s="54">
        <f>(U131+V131+AE131)-BD131-BE131</f>
        <v>28000</v>
      </c>
      <c r="BK131" s="54"/>
    </row>
    <row r="132" spans="1:63" ht="34.5" hidden="1" customHeight="1" x14ac:dyDescent="0.25">
      <c r="A132" s="35">
        <f t="shared" si="64"/>
        <v>35</v>
      </c>
      <c r="B132" s="35" t="s">
        <v>294</v>
      </c>
      <c r="C132" s="105">
        <v>20164737071</v>
      </c>
      <c r="D132" s="37" t="s">
        <v>106</v>
      </c>
      <c r="E132" s="37" t="b">
        <v>0</v>
      </c>
      <c r="F132" s="37"/>
      <c r="G132" s="65">
        <v>46022</v>
      </c>
      <c r="H132" s="35">
        <v>2</v>
      </c>
      <c r="I132" s="35" t="s">
        <v>295</v>
      </c>
      <c r="J132" s="110">
        <v>18994</v>
      </c>
      <c r="K132" s="81">
        <v>7013769117</v>
      </c>
      <c r="L132" s="81">
        <v>504651813</v>
      </c>
      <c r="M132" s="81">
        <v>2042916441</v>
      </c>
      <c r="N132" s="35" t="s">
        <v>73</v>
      </c>
      <c r="O132" s="35" t="s">
        <v>97</v>
      </c>
      <c r="P132" s="35">
        <v>10</v>
      </c>
      <c r="Q132" s="35">
        <v>4</v>
      </c>
      <c r="R132" s="35">
        <f t="shared" si="65"/>
        <v>40</v>
      </c>
      <c r="S132" s="44">
        <v>68000</v>
      </c>
      <c r="T132" s="44">
        <f t="shared" si="71"/>
        <v>6800</v>
      </c>
      <c r="U132" s="63">
        <f t="shared" ref="U132:U141" si="72">S132+T132</f>
        <v>74800</v>
      </c>
      <c r="V132" s="106"/>
      <c r="W132" s="106"/>
      <c r="X132" s="45">
        <v>0</v>
      </c>
      <c r="Y132" s="48">
        <f t="shared" si="54"/>
        <v>0</v>
      </c>
      <c r="Z132" s="50">
        <v>0</v>
      </c>
      <c r="AA132" s="50">
        <f t="shared" si="70"/>
        <v>0</v>
      </c>
      <c r="AB132" s="50"/>
      <c r="AC132" s="52">
        <v>78200</v>
      </c>
      <c r="AD132" s="52">
        <f>S132*1.15-AC132</f>
        <v>0</v>
      </c>
      <c r="AE132" s="53">
        <f>S132*1.15+X132-AB132-AC132</f>
        <v>0</v>
      </c>
      <c r="AF132" s="52" t="b">
        <v>0</v>
      </c>
      <c r="AG132" s="52"/>
      <c r="AH132" s="52"/>
      <c r="AI132" s="52"/>
      <c r="AJ132" s="52"/>
      <c r="AK132" s="52"/>
      <c r="AL132" s="52"/>
      <c r="AM132" s="52" t="b">
        <v>0</v>
      </c>
      <c r="AN132" s="52"/>
      <c r="AO132" s="52"/>
      <c r="AP132" s="52"/>
      <c r="AQ132" s="52"/>
      <c r="AR132" s="52"/>
      <c r="AS132" s="52" t="b">
        <v>0</v>
      </c>
      <c r="AT132" s="52"/>
      <c r="AU132" s="52"/>
      <c r="AV132" s="52"/>
      <c r="AW132" s="52"/>
      <c r="AX132" s="52" t="str">
        <f t="shared" si="55"/>
        <v>ملتزم</v>
      </c>
      <c r="AY132" s="54" t="s">
        <v>77</v>
      </c>
      <c r="AZ132" s="43" t="s">
        <v>107</v>
      </c>
      <c r="BA132" s="55"/>
      <c r="BB132" s="55"/>
      <c r="BC132" s="55"/>
      <c r="BD132" s="54"/>
      <c r="BE132" s="68">
        <v>0</v>
      </c>
      <c r="BF132" s="54"/>
      <c r="BG132" s="54"/>
      <c r="BH132" s="54"/>
      <c r="BI132" s="52" t="s">
        <v>76</v>
      </c>
      <c r="BJ132" s="54">
        <f>(U132+V132+AE132)-BD132-BE132</f>
        <v>74800</v>
      </c>
      <c r="BK132" s="54"/>
    </row>
    <row r="133" spans="1:63" ht="34.5" hidden="1" customHeight="1" x14ac:dyDescent="0.25">
      <c r="A133" s="35">
        <f t="shared" si="64"/>
        <v>36</v>
      </c>
      <c r="B133" s="35" t="s">
        <v>296</v>
      </c>
      <c r="C133" s="111">
        <v>20885175128</v>
      </c>
      <c r="D133" s="37" t="s">
        <v>106</v>
      </c>
      <c r="E133" s="37" t="b">
        <v>0</v>
      </c>
      <c r="F133" s="37"/>
      <c r="G133" s="65">
        <v>46022</v>
      </c>
      <c r="H133" s="35">
        <v>9</v>
      </c>
      <c r="I133" s="35" t="s">
        <v>297</v>
      </c>
      <c r="J133" s="81"/>
      <c r="K133" s="81"/>
      <c r="L133" s="81"/>
      <c r="M133" s="81"/>
      <c r="N133" s="35" t="s">
        <v>64</v>
      </c>
      <c r="O133" s="42" t="s">
        <v>97</v>
      </c>
      <c r="P133" s="35">
        <v>24.85</v>
      </c>
      <c r="Q133" s="35">
        <v>19.2</v>
      </c>
      <c r="R133" s="35">
        <f t="shared" si="65"/>
        <v>477.12</v>
      </c>
      <c r="S133" s="43">
        <v>350000</v>
      </c>
      <c r="T133" s="44">
        <f t="shared" ref="T133:T134" si="73">S133*20/100</f>
        <v>70000</v>
      </c>
      <c r="U133" s="63">
        <f t="shared" si="72"/>
        <v>420000</v>
      </c>
      <c r="V133" s="106"/>
      <c r="W133" s="106"/>
      <c r="X133" s="52">
        <v>0</v>
      </c>
      <c r="Y133" s="48">
        <f t="shared" si="54"/>
        <v>0</v>
      </c>
      <c r="Z133" s="69">
        <v>0</v>
      </c>
      <c r="AA133" s="50">
        <f t="shared" si="70"/>
        <v>0</v>
      </c>
      <c r="AB133" s="50"/>
      <c r="AC133" s="52">
        <v>402500</v>
      </c>
      <c r="AD133" s="52">
        <f>S133*1.15-AC133</f>
        <v>0</v>
      </c>
      <c r="AE133" s="52">
        <f>S133*1.15+X133-AB133-AC133</f>
        <v>0</v>
      </c>
      <c r="AF133" s="52" t="b">
        <v>0</v>
      </c>
      <c r="AG133" s="52"/>
      <c r="AH133" s="52"/>
      <c r="AI133" s="52"/>
      <c r="AJ133" s="52"/>
      <c r="AK133" s="52"/>
      <c r="AL133" s="52"/>
      <c r="AM133" s="52" t="b">
        <v>0</v>
      </c>
      <c r="AN133" s="52"/>
      <c r="AO133" s="52"/>
      <c r="AP133" s="52"/>
      <c r="AQ133" s="52"/>
      <c r="AR133" s="52"/>
      <c r="AS133" s="52" t="b">
        <v>0</v>
      </c>
      <c r="AT133" s="52"/>
      <c r="AU133" s="52"/>
      <c r="AV133" s="52"/>
      <c r="AW133" s="52"/>
      <c r="AX133" s="52" t="str">
        <f t="shared" si="55"/>
        <v>ملتزم</v>
      </c>
      <c r="AY133" s="54" t="s">
        <v>69</v>
      </c>
      <c r="AZ133" s="43" t="s">
        <v>107</v>
      </c>
      <c r="BA133" s="55"/>
      <c r="BB133" s="55"/>
      <c r="BC133" s="55"/>
      <c r="BD133" s="54"/>
      <c r="BE133" s="68">
        <v>332062.5</v>
      </c>
      <c r="BF133" s="54"/>
      <c r="BG133" s="54"/>
      <c r="BH133" s="54"/>
      <c r="BI133" s="54" t="s">
        <v>76</v>
      </c>
      <c r="BJ133" s="54">
        <f>(U133+V133+AE133)-BD133-BE133</f>
        <v>87937.5</v>
      </c>
      <c r="BK133" s="54" t="s">
        <v>113</v>
      </c>
    </row>
    <row r="134" spans="1:63" ht="34.5" hidden="1" customHeight="1" x14ac:dyDescent="0.25">
      <c r="A134" s="35">
        <f t="shared" si="64"/>
        <v>37</v>
      </c>
      <c r="B134" s="35" t="s">
        <v>298</v>
      </c>
      <c r="C134" s="105"/>
      <c r="D134" s="81" t="s">
        <v>100</v>
      </c>
      <c r="E134" s="81" t="b">
        <v>0</v>
      </c>
      <c r="F134" s="81"/>
      <c r="G134" s="65"/>
      <c r="H134" s="35">
        <v>4</v>
      </c>
      <c r="I134" s="35" t="s">
        <v>299</v>
      </c>
      <c r="J134" s="93" t="s">
        <v>300</v>
      </c>
      <c r="K134" s="85">
        <v>7011887812</v>
      </c>
      <c r="L134" s="81"/>
      <c r="M134" s="81">
        <v>1002711650</v>
      </c>
      <c r="N134" s="35" t="s">
        <v>73</v>
      </c>
      <c r="O134" s="35" t="s">
        <v>97</v>
      </c>
      <c r="P134" s="35">
        <v>10.4</v>
      </c>
      <c r="Q134" s="35">
        <v>7.9</v>
      </c>
      <c r="R134" s="35">
        <f t="shared" si="65"/>
        <v>82.160000000000011</v>
      </c>
      <c r="S134" s="43">
        <v>128000</v>
      </c>
      <c r="T134" s="44">
        <f t="shared" si="73"/>
        <v>25600</v>
      </c>
      <c r="U134" s="63">
        <f t="shared" si="72"/>
        <v>153600</v>
      </c>
      <c r="V134" s="106"/>
      <c r="W134" s="106"/>
      <c r="X134" s="45"/>
      <c r="Y134" s="48">
        <f t="shared" si="54"/>
        <v>0</v>
      </c>
      <c r="Z134" s="50">
        <v>0</v>
      </c>
      <c r="AA134" s="50">
        <f t="shared" si="70"/>
        <v>0</v>
      </c>
      <c r="AB134" s="50"/>
      <c r="AC134" s="52">
        <v>147200</v>
      </c>
      <c r="AD134" s="52">
        <f>S134*1.15-AC134</f>
        <v>0</v>
      </c>
      <c r="AE134" s="53">
        <f>S134*1.15+X134-AB134-AC134</f>
        <v>0</v>
      </c>
      <c r="AF134" s="52" t="b">
        <v>0</v>
      </c>
      <c r="AG134" s="52"/>
      <c r="AH134" s="52"/>
      <c r="AI134" s="52"/>
      <c r="AJ134" s="52"/>
      <c r="AK134" s="52"/>
      <c r="AL134" s="52"/>
      <c r="AM134" s="52" t="b">
        <v>0</v>
      </c>
      <c r="AN134" s="52"/>
      <c r="AO134" s="52"/>
      <c r="AP134" s="52"/>
      <c r="AQ134" s="52"/>
      <c r="AR134" s="52"/>
      <c r="AS134" s="52" t="b">
        <v>0</v>
      </c>
      <c r="AT134" s="52"/>
      <c r="AU134" s="52"/>
      <c r="AV134" s="52"/>
      <c r="AW134" s="52"/>
      <c r="AX134" s="52" t="str">
        <f t="shared" si="55"/>
        <v>ملتزم</v>
      </c>
      <c r="AY134" s="54" t="s">
        <v>77</v>
      </c>
      <c r="AZ134" s="43" t="s">
        <v>86</v>
      </c>
      <c r="BA134" s="135" t="s">
        <v>301</v>
      </c>
      <c r="BB134" s="135"/>
      <c r="BC134" s="135"/>
      <c r="BD134" s="54"/>
      <c r="BE134" s="68">
        <v>0</v>
      </c>
      <c r="BF134" s="54"/>
      <c r="BG134" s="54"/>
      <c r="BH134" s="54"/>
      <c r="BI134" s="54" t="s">
        <v>76</v>
      </c>
      <c r="BJ134" s="54">
        <f>(U134+V134+AE134)-BD134-BE134</f>
        <v>153600</v>
      </c>
      <c r="BK134" s="54"/>
    </row>
    <row r="135" spans="1:63" ht="34.5" hidden="1" customHeight="1" x14ac:dyDescent="0.25">
      <c r="A135" s="35">
        <f t="shared" si="64"/>
        <v>38</v>
      </c>
      <c r="B135" s="35" t="s">
        <v>302</v>
      </c>
      <c r="C135" s="111">
        <v>20796120831</v>
      </c>
      <c r="D135" s="37" t="s">
        <v>106</v>
      </c>
      <c r="E135" s="37" t="b">
        <v>0</v>
      </c>
      <c r="F135" s="37"/>
      <c r="G135" s="65">
        <v>46022</v>
      </c>
      <c r="H135" s="35">
        <v>2</v>
      </c>
      <c r="I135" s="35" t="s">
        <v>303</v>
      </c>
      <c r="J135" s="81" t="s">
        <v>304</v>
      </c>
      <c r="K135" s="110"/>
      <c r="L135" s="110"/>
      <c r="M135" s="81">
        <v>2195902826</v>
      </c>
      <c r="N135" s="35" t="s">
        <v>64</v>
      </c>
      <c r="O135" s="42" t="s">
        <v>97</v>
      </c>
      <c r="P135" s="35">
        <v>14.3</v>
      </c>
      <c r="Q135" s="35">
        <v>4.1500000000000004</v>
      </c>
      <c r="R135" s="35">
        <f t="shared" si="65"/>
        <v>59.345000000000006</v>
      </c>
      <c r="S135" s="43">
        <v>62200</v>
      </c>
      <c r="T135" s="44">
        <f t="shared" ref="T135:T141" si="74">S135*10/100</f>
        <v>6220</v>
      </c>
      <c r="U135" s="63">
        <f t="shared" si="72"/>
        <v>68420</v>
      </c>
      <c r="V135" s="106"/>
      <c r="W135" s="106"/>
      <c r="X135" s="52">
        <v>0</v>
      </c>
      <c r="Y135" s="48">
        <f t="shared" si="54"/>
        <v>0</v>
      </c>
      <c r="Z135" s="69">
        <v>0</v>
      </c>
      <c r="AA135" s="50">
        <f t="shared" si="70"/>
        <v>0</v>
      </c>
      <c r="AB135" s="50"/>
      <c r="AC135" s="52">
        <v>71530</v>
      </c>
      <c r="AD135" s="52">
        <f>S135*1.15-AC135</f>
        <v>0</v>
      </c>
      <c r="AE135" s="52">
        <f>S135*1.15+X135-AB135-AC135</f>
        <v>0</v>
      </c>
      <c r="AF135" s="52" t="b">
        <v>0</v>
      </c>
      <c r="AG135" s="52"/>
      <c r="AH135" s="52"/>
      <c r="AI135" s="52"/>
      <c r="AJ135" s="52"/>
      <c r="AK135" s="52"/>
      <c r="AL135" s="52"/>
      <c r="AM135" s="52" t="b">
        <v>0</v>
      </c>
      <c r="AN135" s="52"/>
      <c r="AO135" s="52"/>
      <c r="AP135" s="52"/>
      <c r="AQ135" s="52"/>
      <c r="AR135" s="52"/>
      <c r="AS135" s="52" t="b">
        <v>0</v>
      </c>
      <c r="AT135" s="52"/>
      <c r="AU135" s="52"/>
      <c r="AV135" s="52"/>
      <c r="AW135" s="52"/>
      <c r="AX135" s="52" t="str">
        <f t="shared" si="55"/>
        <v>ملتزم</v>
      </c>
      <c r="AY135" s="54" t="s">
        <v>69</v>
      </c>
      <c r="AZ135" s="43" t="s">
        <v>107</v>
      </c>
      <c r="BA135" s="55"/>
      <c r="BB135" s="55"/>
      <c r="BC135" s="55"/>
      <c r="BD135" s="54"/>
      <c r="BE135" s="68">
        <v>59184</v>
      </c>
      <c r="BF135" s="54"/>
      <c r="BG135" s="54"/>
      <c r="BH135" s="54"/>
      <c r="BI135" s="54" t="s">
        <v>112</v>
      </c>
      <c r="BJ135" s="54">
        <f>(U135+V135+AE135)-BD135-BE135</f>
        <v>9236</v>
      </c>
      <c r="BK135" s="54" t="s">
        <v>205</v>
      </c>
    </row>
    <row r="136" spans="1:63" ht="34.5" hidden="1" customHeight="1" x14ac:dyDescent="0.25">
      <c r="A136" s="35">
        <f t="shared" si="64"/>
        <v>39</v>
      </c>
      <c r="B136" s="35" t="s">
        <v>305</v>
      </c>
      <c r="C136" s="105"/>
      <c r="D136" s="37" t="s">
        <v>134</v>
      </c>
      <c r="E136" s="37" t="b">
        <v>0</v>
      </c>
      <c r="F136" s="37"/>
      <c r="G136" s="65"/>
      <c r="H136" s="35">
        <v>4</v>
      </c>
      <c r="I136" s="35" t="s">
        <v>306</v>
      </c>
      <c r="J136" s="95" t="s">
        <v>307</v>
      </c>
      <c r="K136" s="81">
        <v>4030000939</v>
      </c>
      <c r="L136" s="81">
        <v>555610816</v>
      </c>
      <c r="M136" s="81">
        <v>1011008792</v>
      </c>
      <c r="N136" s="35" t="s">
        <v>73</v>
      </c>
      <c r="O136" s="35" t="s">
        <v>97</v>
      </c>
      <c r="P136" s="35">
        <v>7.3</v>
      </c>
      <c r="Q136" s="35">
        <v>10.5</v>
      </c>
      <c r="R136" s="35">
        <f t="shared" si="65"/>
        <v>76.649999999999991</v>
      </c>
      <c r="S136" s="43">
        <v>120000</v>
      </c>
      <c r="T136" s="44">
        <f t="shared" si="74"/>
        <v>12000</v>
      </c>
      <c r="U136" s="63">
        <f t="shared" si="72"/>
        <v>132000</v>
      </c>
      <c r="V136" s="106"/>
      <c r="W136" s="106"/>
      <c r="X136" s="45">
        <v>4600</v>
      </c>
      <c r="Y136" s="48">
        <f t="shared" si="54"/>
        <v>4000.0000000000005</v>
      </c>
      <c r="Z136" s="50">
        <v>0</v>
      </c>
      <c r="AA136" s="50">
        <f t="shared" si="70"/>
        <v>0</v>
      </c>
      <c r="AB136" s="50">
        <v>0</v>
      </c>
      <c r="AC136" s="52">
        <v>0</v>
      </c>
      <c r="AD136" s="52">
        <f>S136*1.15-AC136</f>
        <v>138000</v>
      </c>
      <c r="AE136" s="53">
        <v>132600</v>
      </c>
      <c r="AF136" s="52" t="b">
        <v>0</v>
      </c>
      <c r="AG136" s="52"/>
      <c r="AH136" s="52"/>
      <c r="AI136" s="52"/>
      <c r="AJ136" s="52"/>
      <c r="AK136" s="52"/>
      <c r="AL136" s="52"/>
      <c r="AM136" s="52" t="b">
        <v>0</v>
      </c>
      <c r="AN136" s="52"/>
      <c r="AO136" s="52"/>
      <c r="AP136" s="52"/>
      <c r="AQ136" s="52"/>
      <c r="AR136" s="52"/>
      <c r="AS136" s="52" t="b">
        <v>0</v>
      </c>
      <c r="AT136" s="52"/>
      <c r="AU136" s="52"/>
      <c r="AV136" s="52"/>
      <c r="AW136" s="52"/>
      <c r="AX136" s="52" t="str">
        <f t="shared" si="55"/>
        <v>غير ملتزم</v>
      </c>
      <c r="AY136" s="54" t="s">
        <v>140</v>
      </c>
      <c r="AZ136" s="43"/>
      <c r="BA136" s="107" t="s">
        <v>98</v>
      </c>
      <c r="BB136" s="107"/>
      <c r="BC136" s="107"/>
      <c r="BD136" s="54"/>
      <c r="BE136" s="68">
        <v>0</v>
      </c>
      <c r="BF136" s="54"/>
      <c r="BG136" s="54"/>
      <c r="BH136" s="54"/>
      <c r="BI136" s="54"/>
      <c r="BJ136" s="54">
        <f>(U136+V136+AE136)-BD136-BE136</f>
        <v>264600</v>
      </c>
      <c r="BK136" s="54"/>
    </row>
    <row r="137" spans="1:63" ht="34.5" hidden="1" customHeight="1" x14ac:dyDescent="0.25">
      <c r="A137" s="35">
        <f t="shared" si="64"/>
        <v>40</v>
      </c>
      <c r="B137" s="35" t="s">
        <v>308</v>
      </c>
      <c r="C137" s="35">
        <v>20505968398</v>
      </c>
      <c r="D137" s="122" t="s">
        <v>134</v>
      </c>
      <c r="E137" s="122" t="b">
        <v>1</v>
      </c>
      <c r="F137" s="122"/>
      <c r="G137" s="65"/>
      <c r="H137" s="35">
        <v>1</v>
      </c>
      <c r="I137" s="35">
        <v>126</v>
      </c>
      <c r="J137" s="95" t="s">
        <v>217</v>
      </c>
      <c r="K137" s="81">
        <v>7011045767</v>
      </c>
      <c r="L137" s="81">
        <v>534051033</v>
      </c>
      <c r="M137" s="81">
        <v>1001121753</v>
      </c>
      <c r="N137" s="35" t="s">
        <v>64</v>
      </c>
      <c r="O137" s="42" t="s">
        <v>84</v>
      </c>
      <c r="P137" s="35">
        <v>10.1</v>
      </c>
      <c r="Q137" s="35">
        <v>10.1</v>
      </c>
      <c r="R137" s="35">
        <f t="shared" si="65"/>
        <v>102.00999999999999</v>
      </c>
      <c r="S137" s="43">
        <v>28000</v>
      </c>
      <c r="T137" s="44">
        <f t="shared" si="74"/>
        <v>2800</v>
      </c>
      <c r="U137" s="63">
        <f t="shared" si="72"/>
        <v>30800</v>
      </c>
      <c r="V137" s="46">
        <v>53555</v>
      </c>
      <c r="W137" s="46"/>
      <c r="X137" s="52">
        <v>0</v>
      </c>
      <c r="Y137" s="48">
        <f t="shared" si="54"/>
        <v>0</v>
      </c>
      <c r="Z137" s="69">
        <v>0</v>
      </c>
      <c r="AA137" s="50">
        <f t="shared" si="70"/>
        <v>0</v>
      </c>
      <c r="AB137" s="50"/>
      <c r="AC137" s="52">
        <v>24150</v>
      </c>
      <c r="AD137" s="52">
        <f>S137*1.15-AC137</f>
        <v>8049.9999999999964</v>
      </c>
      <c r="AE137" s="53">
        <f>S137*1.15+X137-AB137-AC137</f>
        <v>8049.9999999999964</v>
      </c>
      <c r="AF137" s="52" t="b">
        <v>0</v>
      </c>
      <c r="AG137" s="52"/>
      <c r="AH137" s="52"/>
      <c r="AI137" s="52"/>
      <c r="AJ137" s="52"/>
      <c r="AK137" s="52"/>
      <c r="AL137" s="52"/>
      <c r="AM137" s="52" t="b">
        <v>0</v>
      </c>
      <c r="AN137" s="52"/>
      <c r="AO137" s="52"/>
      <c r="AP137" s="52"/>
      <c r="AQ137" s="52"/>
      <c r="AR137" s="52"/>
      <c r="AS137" s="52" t="b">
        <v>0</v>
      </c>
      <c r="AT137" s="52"/>
      <c r="AU137" s="52"/>
      <c r="AV137" s="52"/>
      <c r="AW137" s="52"/>
      <c r="AX137" s="52" t="str">
        <f t="shared" si="55"/>
        <v>غير ملتزم</v>
      </c>
      <c r="AY137" s="54" t="s">
        <v>77</v>
      </c>
      <c r="AZ137" s="43" t="s">
        <v>86</v>
      </c>
      <c r="BA137" s="135" t="s">
        <v>309</v>
      </c>
      <c r="BB137" s="135"/>
      <c r="BC137" s="135"/>
      <c r="BD137" s="54"/>
      <c r="BE137" s="54"/>
      <c r="BF137" s="54"/>
      <c r="BG137" s="54"/>
      <c r="BH137" s="54"/>
      <c r="BI137" s="54" t="s">
        <v>76</v>
      </c>
      <c r="BJ137" s="54">
        <f>(U137+V137+AE137)-BD137-BE137</f>
        <v>92405</v>
      </c>
      <c r="BK137" s="54"/>
    </row>
    <row r="138" spans="1:63" ht="34.5" hidden="1" customHeight="1" x14ac:dyDescent="0.25">
      <c r="A138" s="35">
        <f t="shared" si="64"/>
        <v>41</v>
      </c>
      <c r="B138" s="35" t="s">
        <v>310</v>
      </c>
      <c r="C138" s="111">
        <v>20283055303</v>
      </c>
      <c r="D138" s="37" t="s">
        <v>100</v>
      </c>
      <c r="E138" s="37" t="b">
        <v>0</v>
      </c>
      <c r="F138" s="37"/>
      <c r="G138" s="65">
        <v>45657</v>
      </c>
      <c r="H138" s="35">
        <v>1</v>
      </c>
      <c r="I138" s="35">
        <v>43</v>
      </c>
      <c r="J138" s="84">
        <v>26991</v>
      </c>
      <c r="K138" s="81">
        <v>7011045767</v>
      </c>
      <c r="L138" s="81">
        <v>557440069</v>
      </c>
      <c r="M138" s="81">
        <v>2068311816</v>
      </c>
      <c r="N138" s="35" t="s">
        <v>64</v>
      </c>
      <c r="O138" s="42" t="s">
        <v>97</v>
      </c>
      <c r="P138" s="35">
        <v>8.9</v>
      </c>
      <c r="Q138" s="35">
        <v>4.2</v>
      </c>
      <c r="R138" s="35">
        <f t="shared" si="65"/>
        <v>37.380000000000003</v>
      </c>
      <c r="S138" s="43">
        <v>50000</v>
      </c>
      <c r="T138" s="44">
        <f t="shared" si="74"/>
        <v>5000</v>
      </c>
      <c r="U138" s="63">
        <f t="shared" si="72"/>
        <v>55000</v>
      </c>
      <c r="V138" s="140"/>
      <c r="W138" s="140"/>
      <c r="X138" s="52">
        <v>0</v>
      </c>
      <c r="Y138" s="48">
        <f t="shared" si="54"/>
        <v>0</v>
      </c>
      <c r="Z138" s="69">
        <v>0</v>
      </c>
      <c r="AA138" s="50">
        <f t="shared" si="70"/>
        <v>0</v>
      </c>
      <c r="AB138" s="50"/>
      <c r="AC138" s="52">
        <v>43125</v>
      </c>
      <c r="AD138" s="52">
        <f>S138*1.15-AC138</f>
        <v>14374.999999999993</v>
      </c>
      <c r="AE138" s="53">
        <f>S138*1.15+X138-AB138-AC138</f>
        <v>14374.999999999993</v>
      </c>
      <c r="AF138" s="52" t="b">
        <v>0</v>
      </c>
      <c r="AG138" s="52"/>
      <c r="AH138" s="52"/>
      <c r="AI138" s="52"/>
      <c r="AJ138" s="52"/>
      <c r="AK138" s="52"/>
      <c r="AL138" s="52"/>
      <c r="AM138" s="52" t="b">
        <v>0</v>
      </c>
      <c r="AN138" s="52"/>
      <c r="AO138" s="52"/>
      <c r="AP138" s="52"/>
      <c r="AQ138" s="52"/>
      <c r="AR138" s="52"/>
      <c r="AS138" s="52" t="b">
        <v>0</v>
      </c>
      <c r="AT138" s="52"/>
      <c r="AU138" s="52"/>
      <c r="AV138" s="52"/>
      <c r="AW138" s="52"/>
      <c r="AX138" s="52" t="str">
        <f t="shared" si="55"/>
        <v>غير ملتزم</v>
      </c>
      <c r="AY138" s="54" t="s">
        <v>77</v>
      </c>
      <c r="AZ138" s="43" t="s">
        <v>103</v>
      </c>
      <c r="BA138" s="143"/>
      <c r="BB138" s="143"/>
      <c r="BC138" s="143"/>
      <c r="BD138" s="54"/>
      <c r="BE138" s="68">
        <v>0</v>
      </c>
      <c r="BF138" s="54"/>
      <c r="BG138" s="54"/>
      <c r="BH138" s="54"/>
      <c r="BI138" s="54" t="s">
        <v>76</v>
      </c>
      <c r="BJ138" s="54">
        <f>(U138+V138+AE138)-BD138-BE138</f>
        <v>69375</v>
      </c>
      <c r="BK138" s="54"/>
    </row>
    <row r="139" spans="1:63" ht="34.5" hidden="1" customHeight="1" x14ac:dyDescent="0.25">
      <c r="A139" s="35">
        <f t="shared" si="64"/>
        <v>42</v>
      </c>
      <c r="B139" s="57" t="s">
        <v>311</v>
      </c>
      <c r="C139" s="72">
        <v>20896828622</v>
      </c>
      <c r="D139" s="37" t="s">
        <v>106</v>
      </c>
      <c r="E139" s="37" t="b">
        <v>0</v>
      </c>
      <c r="F139" s="37"/>
      <c r="G139" s="65">
        <v>46022</v>
      </c>
      <c r="H139" s="42">
        <v>1</v>
      </c>
      <c r="I139" s="42">
        <v>40</v>
      </c>
      <c r="J139" s="59" t="s">
        <v>312</v>
      </c>
      <c r="K139" s="61">
        <v>7012848938</v>
      </c>
      <c r="L139" s="61">
        <v>540082540</v>
      </c>
      <c r="M139" s="61">
        <v>2042624698</v>
      </c>
      <c r="N139" s="35" t="s">
        <v>73</v>
      </c>
      <c r="O139" s="42" t="s">
        <v>74</v>
      </c>
      <c r="P139" s="35"/>
      <c r="Q139" s="35"/>
      <c r="R139" s="35">
        <v>42.3</v>
      </c>
      <c r="S139" s="62">
        <v>25000</v>
      </c>
      <c r="T139" s="44">
        <f t="shared" si="74"/>
        <v>2500</v>
      </c>
      <c r="U139" s="63">
        <f t="shared" si="72"/>
        <v>27500</v>
      </c>
      <c r="V139" s="64"/>
      <c r="W139" s="64"/>
      <c r="X139" s="51"/>
      <c r="Y139" s="48">
        <f t="shared" si="54"/>
        <v>0</v>
      </c>
      <c r="Z139" s="49">
        <v>0</v>
      </c>
      <c r="AA139" s="50">
        <f t="shared" si="70"/>
        <v>0</v>
      </c>
      <c r="AB139" s="50"/>
      <c r="AC139" s="51">
        <v>28750</v>
      </c>
      <c r="AD139" s="52">
        <f>S139*1.15-AC139</f>
        <v>0</v>
      </c>
      <c r="AE139" s="53">
        <f>S139*1.15+X139-AB139-AC139</f>
        <v>0</v>
      </c>
      <c r="AF139" s="52" t="b">
        <v>0</v>
      </c>
      <c r="AG139" s="52"/>
      <c r="AH139" s="52"/>
      <c r="AI139" s="52"/>
      <c r="AJ139" s="52"/>
      <c r="AK139" s="52"/>
      <c r="AL139" s="52"/>
      <c r="AM139" s="52" t="b">
        <v>0</v>
      </c>
      <c r="AN139" s="52"/>
      <c r="AO139" s="52"/>
      <c r="AP139" s="52"/>
      <c r="AQ139" s="52"/>
      <c r="AR139" s="52"/>
      <c r="AS139" s="52" t="b">
        <v>0</v>
      </c>
      <c r="AT139" s="52"/>
      <c r="AU139" s="52"/>
      <c r="AV139" s="52"/>
      <c r="AW139" s="52"/>
      <c r="AX139" s="52" t="str">
        <f t="shared" si="55"/>
        <v>ملتزم</v>
      </c>
      <c r="AY139" s="54" t="s">
        <v>77</v>
      </c>
      <c r="AZ139" s="43" t="s">
        <v>107</v>
      </c>
      <c r="BA139" s="55"/>
      <c r="BB139" s="55"/>
      <c r="BC139" s="55"/>
      <c r="BD139" s="54"/>
      <c r="BE139" s="68">
        <v>0</v>
      </c>
      <c r="BF139" s="54"/>
      <c r="BG139" s="54"/>
      <c r="BH139" s="54"/>
      <c r="BI139" s="54" t="s">
        <v>72</v>
      </c>
      <c r="BJ139" s="54">
        <f>(U139+V139+AE139)-BD139-BE139</f>
        <v>27500</v>
      </c>
      <c r="BK139" s="54"/>
    </row>
    <row r="140" spans="1:63" ht="34.5" hidden="1" customHeight="1" x14ac:dyDescent="0.25">
      <c r="A140" s="35">
        <f t="shared" si="64"/>
        <v>43</v>
      </c>
      <c r="B140" s="35" t="s">
        <v>313</v>
      </c>
      <c r="C140" s="111">
        <v>20914472295</v>
      </c>
      <c r="D140" s="37" t="s">
        <v>106</v>
      </c>
      <c r="E140" s="37" t="b">
        <v>0</v>
      </c>
      <c r="F140" s="37"/>
      <c r="G140" s="65">
        <v>46022</v>
      </c>
      <c r="H140" s="35">
        <v>1</v>
      </c>
      <c r="I140" s="35">
        <v>44</v>
      </c>
      <c r="J140" s="110">
        <v>30960</v>
      </c>
      <c r="K140" s="110"/>
      <c r="L140" s="110"/>
      <c r="M140" s="81">
        <v>2131867554</v>
      </c>
      <c r="N140" s="35" t="s">
        <v>64</v>
      </c>
      <c r="O140" s="42" t="s">
        <v>97</v>
      </c>
      <c r="P140" s="35">
        <v>8.9</v>
      </c>
      <c r="Q140" s="35">
        <v>4.2</v>
      </c>
      <c r="R140" s="35">
        <f t="shared" ref="R140:R148" si="75">P140*Q140</f>
        <v>37.380000000000003</v>
      </c>
      <c r="S140" s="43">
        <v>50000</v>
      </c>
      <c r="T140" s="44">
        <f t="shared" si="74"/>
        <v>5000</v>
      </c>
      <c r="U140" s="63">
        <f t="shared" si="72"/>
        <v>55000</v>
      </c>
      <c r="V140" s="106"/>
      <c r="W140" s="106"/>
      <c r="X140" s="52">
        <v>0</v>
      </c>
      <c r="Y140" s="48">
        <f t="shared" si="54"/>
        <v>0</v>
      </c>
      <c r="Z140" s="69">
        <v>0</v>
      </c>
      <c r="AA140" s="50">
        <f t="shared" si="70"/>
        <v>0</v>
      </c>
      <c r="AB140" s="50">
        <v>0</v>
      </c>
      <c r="AC140" s="52">
        <v>57500</v>
      </c>
      <c r="AD140" s="52">
        <f>S140*1.15-AC140</f>
        <v>0</v>
      </c>
      <c r="AE140" s="52">
        <f>S140*1.15+X140-AB140-AC140</f>
        <v>0</v>
      </c>
      <c r="AF140" s="52" t="b">
        <v>0</v>
      </c>
      <c r="AG140" s="52"/>
      <c r="AH140" s="52"/>
      <c r="AI140" s="52"/>
      <c r="AJ140" s="52"/>
      <c r="AK140" s="52"/>
      <c r="AL140" s="52"/>
      <c r="AM140" s="52" t="b">
        <v>0</v>
      </c>
      <c r="AN140" s="52"/>
      <c r="AO140" s="52"/>
      <c r="AP140" s="52"/>
      <c r="AQ140" s="52"/>
      <c r="AR140" s="52"/>
      <c r="AS140" s="52" t="b">
        <v>0</v>
      </c>
      <c r="AT140" s="52"/>
      <c r="AU140" s="52"/>
      <c r="AV140" s="52"/>
      <c r="AW140" s="52"/>
      <c r="AX140" s="52" t="str">
        <f t="shared" si="55"/>
        <v>ملتزم</v>
      </c>
      <c r="AY140" s="54" t="s">
        <v>69</v>
      </c>
      <c r="AZ140" s="43" t="s">
        <v>107</v>
      </c>
      <c r="BA140" s="55"/>
      <c r="BB140" s="55"/>
      <c r="BC140" s="55"/>
      <c r="BD140" s="54"/>
      <c r="BE140" s="68">
        <v>31626</v>
      </c>
      <c r="BF140" s="54"/>
      <c r="BG140" s="54"/>
      <c r="BH140" s="54"/>
      <c r="BI140" s="54" t="s">
        <v>112</v>
      </c>
      <c r="BJ140" s="54">
        <f>(U140+V140+AE140)-BD140-BE140</f>
        <v>23374</v>
      </c>
      <c r="BK140" s="54" t="s">
        <v>113</v>
      </c>
    </row>
    <row r="141" spans="1:63" ht="34.5" hidden="1" customHeight="1" x14ac:dyDescent="0.25">
      <c r="A141" s="35">
        <f t="shared" si="64"/>
        <v>44</v>
      </c>
      <c r="B141" s="35" t="s">
        <v>314</v>
      </c>
      <c r="C141" s="35"/>
      <c r="D141" s="37" t="s">
        <v>134</v>
      </c>
      <c r="E141" s="37" t="b">
        <v>1</v>
      </c>
      <c r="F141" s="144">
        <v>45879</v>
      </c>
      <c r="G141" s="65"/>
      <c r="H141" s="35">
        <v>1</v>
      </c>
      <c r="I141" s="35">
        <v>121</v>
      </c>
      <c r="J141" s="95">
        <v>32616</v>
      </c>
      <c r="K141" s="81">
        <v>7017375564</v>
      </c>
      <c r="L141" s="81">
        <v>531370149</v>
      </c>
      <c r="M141" s="81">
        <v>2345635631</v>
      </c>
      <c r="N141" s="35" t="s">
        <v>64</v>
      </c>
      <c r="O141" s="42" t="s">
        <v>84</v>
      </c>
      <c r="P141" s="35">
        <v>9.1999999999999993</v>
      </c>
      <c r="Q141" s="35">
        <v>8.1999999999999993</v>
      </c>
      <c r="R141" s="35">
        <f t="shared" si="75"/>
        <v>75.439999999999984</v>
      </c>
      <c r="S141" s="43">
        <v>28000</v>
      </c>
      <c r="T141" s="44">
        <f t="shared" si="74"/>
        <v>2800</v>
      </c>
      <c r="U141" s="63">
        <f t="shared" si="72"/>
        <v>30800</v>
      </c>
      <c r="V141" s="46">
        <v>35500</v>
      </c>
      <c r="W141" s="46"/>
      <c r="X141" s="51">
        <v>8741</v>
      </c>
      <c r="Y141" s="48">
        <f t="shared" si="54"/>
        <v>7600.8695652173919</v>
      </c>
      <c r="Z141" s="49">
        <v>0</v>
      </c>
      <c r="AA141" s="50">
        <f t="shared" si="70"/>
        <v>0</v>
      </c>
      <c r="AB141" s="50"/>
      <c r="AC141" s="51">
        <v>0</v>
      </c>
      <c r="AD141" s="52">
        <f>S141*1.15-AC141</f>
        <v>32199.999999999996</v>
      </c>
      <c r="AE141" s="53">
        <f>S141*1.15+X141-AB141-AC141</f>
        <v>40941</v>
      </c>
      <c r="AF141" s="52" t="b">
        <v>0</v>
      </c>
      <c r="AG141" s="52"/>
      <c r="AH141" s="52"/>
      <c r="AI141" s="52"/>
      <c r="AJ141" s="52"/>
      <c r="AK141" s="52"/>
      <c r="AL141" s="52"/>
      <c r="AM141" s="52" t="b">
        <v>0</v>
      </c>
      <c r="AN141" s="52"/>
      <c r="AO141" s="52"/>
      <c r="AP141" s="52"/>
      <c r="AQ141" s="52"/>
      <c r="AR141" s="52"/>
      <c r="AS141" s="52" t="b">
        <v>0</v>
      </c>
      <c r="AT141" s="52"/>
      <c r="AU141" s="52"/>
      <c r="AV141" s="52"/>
      <c r="AW141" s="52"/>
      <c r="AX141" s="52" t="str">
        <f t="shared" si="55"/>
        <v>غير ملتزم</v>
      </c>
      <c r="AY141" s="54" t="s">
        <v>69</v>
      </c>
      <c r="AZ141" s="43"/>
      <c r="BA141" s="70" t="s">
        <v>75</v>
      </c>
      <c r="BB141" s="70"/>
      <c r="BC141" s="70"/>
      <c r="BD141" s="54"/>
      <c r="BE141" s="54"/>
      <c r="BF141" s="54"/>
      <c r="BG141" s="54"/>
      <c r="BH141" s="54"/>
      <c r="BI141" s="54" t="s">
        <v>76</v>
      </c>
      <c r="BJ141" s="54">
        <f>(U141+V141+AE141)-BD141-BE141</f>
        <v>107241</v>
      </c>
      <c r="BK141" s="54"/>
    </row>
    <row r="142" spans="1:63" ht="34.5" hidden="1" customHeight="1" x14ac:dyDescent="0.25">
      <c r="A142" s="35">
        <f t="shared" si="64"/>
        <v>45</v>
      </c>
      <c r="B142" s="35" t="s">
        <v>314</v>
      </c>
      <c r="C142" s="35"/>
      <c r="D142" s="37" t="s">
        <v>100</v>
      </c>
      <c r="E142" s="37" t="b">
        <v>0</v>
      </c>
      <c r="F142" s="37"/>
      <c r="G142" s="65">
        <v>45657</v>
      </c>
      <c r="H142" s="35">
        <v>1</v>
      </c>
      <c r="I142" s="35">
        <v>94</v>
      </c>
      <c r="J142" s="93">
        <v>32616</v>
      </c>
      <c r="K142" s="86">
        <v>7017375564</v>
      </c>
      <c r="L142" s="87">
        <v>531370149</v>
      </c>
      <c r="M142" s="81">
        <v>2345635631</v>
      </c>
      <c r="N142" s="35" t="s">
        <v>64</v>
      </c>
      <c r="O142" s="42" t="s">
        <v>65</v>
      </c>
      <c r="P142" s="35">
        <v>7.8</v>
      </c>
      <c r="Q142" s="35">
        <v>6.7</v>
      </c>
      <c r="R142" s="35">
        <f t="shared" si="75"/>
        <v>52.26</v>
      </c>
      <c r="S142" s="43">
        <v>24000</v>
      </c>
      <c r="T142" s="44"/>
      <c r="U142" s="45"/>
      <c r="V142" s="46">
        <v>33000</v>
      </c>
      <c r="W142" s="46"/>
      <c r="X142" s="88"/>
      <c r="Y142" s="89">
        <f t="shared" si="54"/>
        <v>0</v>
      </c>
      <c r="Z142" s="90">
        <v>0</v>
      </c>
      <c r="AA142" s="91">
        <f t="shared" si="70"/>
        <v>0</v>
      </c>
      <c r="AB142" s="91"/>
      <c r="AC142" s="88">
        <v>27600</v>
      </c>
      <c r="AD142" s="54">
        <f>S142*1.15-AC142</f>
        <v>0</v>
      </c>
      <c r="AE142" s="53">
        <f>S142*1.15+X142-AB142-AC142</f>
        <v>0</v>
      </c>
      <c r="AF142" s="54" t="b">
        <v>1</v>
      </c>
      <c r="AG142" s="54" t="s">
        <v>67</v>
      </c>
      <c r="AH142" s="54">
        <v>37950</v>
      </c>
      <c r="AI142" s="54" t="s">
        <v>68</v>
      </c>
      <c r="AJ142" s="52" t="s">
        <v>136</v>
      </c>
      <c r="AK142" s="128" t="s">
        <v>315</v>
      </c>
      <c r="AL142" s="128"/>
      <c r="AM142" s="54" t="b">
        <v>0</v>
      </c>
      <c r="AN142" s="117">
        <v>45971</v>
      </c>
      <c r="AO142" s="54">
        <v>37950</v>
      </c>
      <c r="AP142" s="54"/>
      <c r="AQ142" s="54"/>
      <c r="AR142" s="54"/>
      <c r="AS142" s="54" t="b">
        <v>0</v>
      </c>
      <c r="AT142" s="118"/>
      <c r="AU142" s="54"/>
      <c r="AV142" s="54"/>
      <c r="AW142" s="54"/>
      <c r="AX142" s="54" t="str">
        <f t="shared" si="55"/>
        <v>ملتزم</v>
      </c>
      <c r="AY142" s="54" t="s">
        <v>69</v>
      </c>
      <c r="AZ142" s="43" t="s">
        <v>70</v>
      </c>
      <c r="BA142" s="55" t="s">
        <v>71</v>
      </c>
      <c r="BB142" s="55"/>
      <c r="BC142" s="55"/>
      <c r="BD142" s="54"/>
      <c r="BE142" s="54"/>
      <c r="BF142" s="54"/>
      <c r="BG142" s="54"/>
      <c r="BH142" s="54"/>
      <c r="BI142" s="54" t="s">
        <v>76</v>
      </c>
      <c r="BJ142" s="54">
        <f>(U142+V142+AE142)-BD142-BE142</f>
        <v>33000</v>
      </c>
      <c r="BK142" s="54"/>
    </row>
    <row r="143" spans="1:63" ht="34.5" hidden="1" customHeight="1" x14ac:dyDescent="0.25">
      <c r="A143" s="35">
        <f t="shared" si="64"/>
        <v>46</v>
      </c>
      <c r="B143" s="35" t="s">
        <v>314</v>
      </c>
      <c r="C143" s="105"/>
      <c r="D143" s="37" t="s">
        <v>106</v>
      </c>
      <c r="E143" s="37" t="b">
        <v>0</v>
      </c>
      <c r="F143" s="37"/>
      <c r="G143" s="65">
        <v>46022</v>
      </c>
      <c r="H143" s="35">
        <v>1</v>
      </c>
      <c r="I143" s="35">
        <v>321</v>
      </c>
      <c r="J143" s="95">
        <v>32616</v>
      </c>
      <c r="K143" s="81">
        <v>7017375564</v>
      </c>
      <c r="L143" s="81">
        <v>582267518</v>
      </c>
      <c r="M143" s="81">
        <v>2345635631</v>
      </c>
      <c r="N143" s="35" t="s">
        <v>73</v>
      </c>
      <c r="O143" s="35" t="s">
        <v>97</v>
      </c>
      <c r="P143" s="35">
        <v>8</v>
      </c>
      <c r="Q143" s="35">
        <v>4.7</v>
      </c>
      <c r="R143" s="35">
        <f t="shared" si="75"/>
        <v>37.6</v>
      </c>
      <c r="S143" s="44">
        <v>30000</v>
      </c>
      <c r="T143" s="44">
        <v>3000</v>
      </c>
      <c r="U143" s="63">
        <v>33000</v>
      </c>
      <c r="V143" s="106"/>
      <c r="W143" s="106"/>
      <c r="X143" s="45">
        <v>0</v>
      </c>
      <c r="Y143" s="48">
        <f t="shared" si="54"/>
        <v>0</v>
      </c>
      <c r="Z143" s="50">
        <v>0</v>
      </c>
      <c r="AA143" s="50">
        <f t="shared" si="70"/>
        <v>0</v>
      </c>
      <c r="AB143" s="50">
        <v>0</v>
      </c>
      <c r="AC143" s="52">
        <v>73600</v>
      </c>
      <c r="AD143" s="52">
        <f>S143*1.15-AC143</f>
        <v>-39100</v>
      </c>
      <c r="AE143" s="53">
        <f>S143*1.15+X143-AB143-AC143</f>
        <v>-39100</v>
      </c>
      <c r="AF143" s="52" t="b">
        <v>0</v>
      </c>
      <c r="AG143" s="52"/>
      <c r="AH143" s="52"/>
      <c r="AI143" s="52"/>
      <c r="AJ143" s="52"/>
      <c r="AK143" s="52"/>
      <c r="AL143" s="52"/>
      <c r="AM143" s="52" t="b">
        <v>0</v>
      </c>
      <c r="AN143" s="52"/>
      <c r="AO143" s="52"/>
      <c r="AP143" s="52"/>
      <c r="AQ143" s="52"/>
      <c r="AR143" s="52"/>
      <c r="AS143" s="52" t="b">
        <v>0</v>
      </c>
      <c r="AT143" s="52"/>
      <c r="AU143" s="52"/>
      <c r="AV143" s="52"/>
      <c r="AW143" s="52"/>
      <c r="AX143" s="52" t="str">
        <f t="shared" si="55"/>
        <v>ملتزم</v>
      </c>
      <c r="AY143" s="54" t="s">
        <v>77</v>
      </c>
      <c r="AZ143" s="43" t="s">
        <v>107</v>
      </c>
      <c r="BA143" s="55"/>
      <c r="BB143" s="55"/>
      <c r="BC143" s="55"/>
      <c r="BD143" s="54"/>
      <c r="BE143" s="68">
        <v>18975</v>
      </c>
      <c r="BF143" s="54"/>
      <c r="BG143" s="54"/>
      <c r="BH143" s="54"/>
      <c r="BI143" s="54" t="s">
        <v>76</v>
      </c>
      <c r="BJ143" s="54">
        <f>(U143+V143+AE143)-BD143-BE143</f>
        <v>-25075</v>
      </c>
      <c r="BK143" s="54"/>
    </row>
    <row r="144" spans="1:63" ht="34.5" hidden="1" customHeight="1" x14ac:dyDescent="0.25">
      <c r="A144" s="35">
        <f t="shared" si="64"/>
        <v>47</v>
      </c>
      <c r="B144" s="35" t="s">
        <v>316</v>
      </c>
      <c r="C144" s="105">
        <v>20478032205</v>
      </c>
      <c r="D144" s="37" t="s">
        <v>106</v>
      </c>
      <c r="E144" s="37" t="b">
        <v>0</v>
      </c>
      <c r="F144" s="37"/>
      <c r="G144" s="113">
        <v>46022</v>
      </c>
      <c r="H144" s="35">
        <v>2</v>
      </c>
      <c r="I144" s="35" t="s">
        <v>317</v>
      </c>
      <c r="J144" s="95" t="s">
        <v>183</v>
      </c>
      <c r="K144" s="81">
        <v>7015566222</v>
      </c>
      <c r="L144" s="81">
        <v>500867920</v>
      </c>
      <c r="M144" s="81">
        <v>1096051196</v>
      </c>
      <c r="N144" s="35" t="s">
        <v>73</v>
      </c>
      <c r="O144" s="35" t="s">
        <v>97</v>
      </c>
      <c r="P144" s="35">
        <v>7.95</v>
      </c>
      <c r="Q144" s="35">
        <v>4.95</v>
      </c>
      <c r="R144" s="35">
        <f t="shared" si="75"/>
        <v>39.352499999999999</v>
      </c>
      <c r="S144" s="44">
        <v>64000</v>
      </c>
      <c r="T144" s="44">
        <v>9800</v>
      </c>
      <c r="U144" s="63">
        <f>S144+T144+200</f>
        <v>74000</v>
      </c>
      <c r="V144" s="44"/>
      <c r="W144" s="44"/>
      <c r="X144" s="54">
        <v>0</v>
      </c>
      <c r="Y144" s="89">
        <f t="shared" si="54"/>
        <v>0</v>
      </c>
      <c r="Z144" s="91">
        <v>0</v>
      </c>
      <c r="AA144" s="91">
        <f t="shared" si="70"/>
        <v>0</v>
      </c>
      <c r="AB144" s="91"/>
      <c r="AC144" s="54">
        <v>73600</v>
      </c>
      <c r="AD144" s="54">
        <f>S144*1.15-AC144</f>
        <v>0</v>
      </c>
      <c r="AE144" s="53">
        <f>S144*1.15+X144-AB144-AC144</f>
        <v>0</v>
      </c>
      <c r="AF144" s="54" t="b">
        <v>1</v>
      </c>
      <c r="AG144" s="134">
        <v>45698</v>
      </c>
      <c r="AH144" s="54">
        <v>28366</v>
      </c>
      <c r="AI144" s="54" t="s">
        <v>68</v>
      </c>
      <c r="AJ144" s="52" t="s">
        <v>136</v>
      </c>
      <c r="AK144" s="128" t="s">
        <v>318</v>
      </c>
      <c r="AL144" s="128"/>
      <c r="AM144" s="54" t="b">
        <v>0</v>
      </c>
      <c r="AN144" s="126" t="s">
        <v>152</v>
      </c>
      <c r="AO144" s="54">
        <v>28366</v>
      </c>
      <c r="AP144" s="54"/>
      <c r="AQ144" s="54"/>
      <c r="AR144" s="54"/>
      <c r="AS144" s="54" t="b">
        <v>0</v>
      </c>
      <c r="AT144" s="54"/>
      <c r="AU144" s="54"/>
      <c r="AV144" s="54"/>
      <c r="AW144" s="54"/>
      <c r="AX144" s="54" t="str">
        <f t="shared" si="55"/>
        <v>ملتزم</v>
      </c>
      <c r="AY144" s="54" t="s">
        <v>77</v>
      </c>
      <c r="AZ144" s="43" t="s">
        <v>107</v>
      </c>
      <c r="BA144" s="55"/>
      <c r="BB144" s="55"/>
      <c r="BC144" s="55"/>
      <c r="BD144" s="54"/>
      <c r="BE144" s="68">
        <v>42550</v>
      </c>
      <c r="BF144" s="54"/>
      <c r="BG144" s="54"/>
      <c r="BH144" s="54"/>
      <c r="BI144" s="54" t="s">
        <v>72</v>
      </c>
      <c r="BJ144" s="54">
        <f>(U144+V144+AE144)-BD144-BE144</f>
        <v>31450</v>
      </c>
      <c r="BK144" s="54" t="s">
        <v>113</v>
      </c>
    </row>
    <row r="145" spans="1:63" ht="34.5" hidden="1" customHeight="1" x14ac:dyDescent="0.25">
      <c r="A145" s="35">
        <f t="shared" si="64"/>
        <v>48</v>
      </c>
      <c r="B145" s="35" t="s">
        <v>319</v>
      </c>
      <c r="C145" s="35">
        <v>20034517818</v>
      </c>
      <c r="D145" s="37" t="s">
        <v>100</v>
      </c>
      <c r="E145" s="37" t="b">
        <v>0</v>
      </c>
      <c r="F145" s="37"/>
      <c r="G145" s="65">
        <v>45657</v>
      </c>
      <c r="H145" s="35">
        <v>1</v>
      </c>
      <c r="I145" s="35">
        <v>95</v>
      </c>
      <c r="J145" s="93" t="s">
        <v>320</v>
      </c>
      <c r="K145" s="85">
        <v>4030432386</v>
      </c>
      <c r="L145" s="81">
        <v>552473558</v>
      </c>
      <c r="M145" s="81">
        <v>1096266349</v>
      </c>
      <c r="N145" s="35" t="s">
        <v>64</v>
      </c>
      <c r="O145" s="42" t="s">
        <v>65</v>
      </c>
      <c r="P145" s="35">
        <v>7.8</v>
      </c>
      <c r="Q145" s="35">
        <v>6.7</v>
      </c>
      <c r="R145" s="35">
        <f t="shared" si="75"/>
        <v>52.26</v>
      </c>
      <c r="S145" s="43">
        <v>21000</v>
      </c>
      <c r="T145" s="44">
        <f t="shared" ref="T145:T149" si="76">S145*10/100</f>
        <v>2100</v>
      </c>
      <c r="U145" s="63">
        <f t="shared" ref="U145:U149" si="77">S145+T145</f>
        <v>23100</v>
      </c>
      <c r="V145" s="129">
        <v>33000</v>
      </c>
      <c r="W145" s="129"/>
      <c r="X145" s="51">
        <v>9315</v>
      </c>
      <c r="Y145" s="48">
        <f t="shared" si="54"/>
        <v>8100.0000000000009</v>
      </c>
      <c r="Z145" s="49">
        <v>0</v>
      </c>
      <c r="AA145" s="50">
        <f t="shared" si="70"/>
        <v>0</v>
      </c>
      <c r="AB145" s="50">
        <v>9315</v>
      </c>
      <c r="AC145" s="51">
        <v>24150</v>
      </c>
      <c r="AD145" s="52">
        <f>S145*1.15-AC145</f>
        <v>0</v>
      </c>
      <c r="AE145" s="53">
        <f>S145*1.15+X145-AB145-AC145</f>
        <v>0</v>
      </c>
      <c r="AF145" s="52" t="b">
        <v>1</v>
      </c>
      <c r="AG145" s="52" t="s">
        <v>67</v>
      </c>
      <c r="AH145" s="52">
        <v>37950</v>
      </c>
      <c r="AI145" s="54" t="s">
        <v>68</v>
      </c>
      <c r="AJ145" s="52" t="s">
        <v>136</v>
      </c>
      <c r="AK145" s="116" t="s">
        <v>321</v>
      </c>
      <c r="AL145" s="116"/>
      <c r="AM145" s="52" t="b">
        <v>0</v>
      </c>
      <c r="AN145" s="117">
        <v>45971</v>
      </c>
      <c r="AO145" s="52">
        <v>37950</v>
      </c>
      <c r="AP145" s="54"/>
      <c r="AQ145" s="54"/>
      <c r="AR145" s="52"/>
      <c r="AS145" s="52" t="b">
        <v>0</v>
      </c>
      <c r="AT145" s="145"/>
      <c r="AU145" s="52"/>
      <c r="AV145" s="52"/>
      <c r="AW145" s="52"/>
      <c r="AX145" s="52" t="str">
        <f t="shared" si="55"/>
        <v>ملتزم</v>
      </c>
      <c r="AY145" s="54" t="s">
        <v>77</v>
      </c>
      <c r="AZ145" s="43"/>
      <c r="BA145" s="55" t="s">
        <v>75</v>
      </c>
      <c r="BB145" s="55"/>
      <c r="BC145" s="55"/>
      <c r="BD145" s="54"/>
      <c r="BE145" s="54"/>
      <c r="BF145" s="54"/>
      <c r="BG145" s="54"/>
      <c r="BH145" s="54"/>
      <c r="BI145" s="54" t="s">
        <v>72</v>
      </c>
      <c r="BJ145" s="54">
        <f>(U145+V145+AE145)-BD145-BE145</f>
        <v>56100</v>
      </c>
      <c r="BK145" s="54"/>
    </row>
    <row r="146" spans="1:63" ht="34.5" hidden="1" customHeight="1" x14ac:dyDescent="0.25">
      <c r="A146" s="35">
        <f t="shared" si="64"/>
        <v>49</v>
      </c>
      <c r="B146" s="35" t="s">
        <v>322</v>
      </c>
      <c r="C146" s="105">
        <v>20274084817</v>
      </c>
      <c r="D146" s="37" t="s">
        <v>106</v>
      </c>
      <c r="E146" s="37" t="b">
        <v>0</v>
      </c>
      <c r="F146" s="37"/>
      <c r="G146" s="65">
        <v>46022</v>
      </c>
      <c r="H146" s="35">
        <v>5</v>
      </c>
      <c r="I146" s="35" t="s">
        <v>323</v>
      </c>
      <c r="J146" s="95" t="s">
        <v>324</v>
      </c>
      <c r="K146" s="87">
        <v>7001536502</v>
      </c>
      <c r="L146" s="87">
        <v>555665443</v>
      </c>
      <c r="M146" s="81">
        <v>1039881071</v>
      </c>
      <c r="N146" s="35" t="s">
        <v>73</v>
      </c>
      <c r="O146" s="35" t="s">
        <v>97</v>
      </c>
      <c r="P146" s="35">
        <v>18.7</v>
      </c>
      <c r="Q146" s="35">
        <v>5</v>
      </c>
      <c r="R146" s="35">
        <f t="shared" si="75"/>
        <v>93.5</v>
      </c>
      <c r="S146" s="43">
        <v>158000</v>
      </c>
      <c r="T146" s="44">
        <f t="shared" si="76"/>
        <v>15800</v>
      </c>
      <c r="U146" s="63">
        <f t="shared" si="77"/>
        <v>173800</v>
      </c>
      <c r="V146" s="106"/>
      <c r="W146" s="106"/>
      <c r="X146" s="52"/>
      <c r="Y146" s="48">
        <f t="shared" si="54"/>
        <v>0</v>
      </c>
      <c r="Z146" s="50">
        <v>0</v>
      </c>
      <c r="AA146" s="50">
        <f t="shared" si="70"/>
        <v>0</v>
      </c>
      <c r="AB146" s="50"/>
      <c r="AC146" s="52">
        <v>181700</v>
      </c>
      <c r="AD146" s="52">
        <f>S146*1.15-AC146</f>
        <v>0</v>
      </c>
      <c r="AE146" s="53">
        <f>S146*1.15+X146-AB146-AC146</f>
        <v>0</v>
      </c>
      <c r="AF146" s="52" t="b">
        <v>0</v>
      </c>
      <c r="AG146" s="52"/>
      <c r="AH146" s="52"/>
      <c r="AI146" s="52"/>
      <c r="AJ146" s="52"/>
      <c r="AK146" s="52"/>
      <c r="AL146" s="52"/>
      <c r="AM146" s="52" t="b">
        <v>0</v>
      </c>
      <c r="AN146" s="52"/>
      <c r="AO146" s="52"/>
      <c r="AP146" s="52"/>
      <c r="AQ146" s="52"/>
      <c r="AR146" s="52"/>
      <c r="AS146" s="52" t="b">
        <v>0</v>
      </c>
      <c r="AT146" s="52"/>
      <c r="AU146" s="52"/>
      <c r="AV146" s="52"/>
      <c r="AW146" s="52"/>
      <c r="AX146" s="52" t="str">
        <f t="shared" si="55"/>
        <v>ملتزم</v>
      </c>
      <c r="AY146" s="54" t="s">
        <v>69</v>
      </c>
      <c r="AZ146" s="43" t="s">
        <v>107</v>
      </c>
      <c r="BA146" s="55"/>
      <c r="BB146" s="55"/>
      <c r="BC146" s="55"/>
      <c r="BD146" s="54"/>
      <c r="BE146" s="68">
        <v>200100</v>
      </c>
      <c r="BF146" s="54"/>
      <c r="BG146" s="54"/>
      <c r="BH146" s="54"/>
      <c r="BI146" s="54" t="s">
        <v>325</v>
      </c>
      <c r="BJ146" s="54">
        <f>(U146+V146+AE146)-BD146-BE146</f>
        <v>-26300</v>
      </c>
      <c r="BK146" s="54" t="s">
        <v>326</v>
      </c>
    </row>
    <row r="147" spans="1:63" ht="34.5" hidden="1" customHeight="1" x14ac:dyDescent="0.25">
      <c r="A147" s="35">
        <f t="shared" si="64"/>
        <v>50</v>
      </c>
      <c r="B147" s="35" t="s">
        <v>327</v>
      </c>
      <c r="C147" s="111">
        <v>20393060501</v>
      </c>
      <c r="D147" s="37" t="s">
        <v>106</v>
      </c>
      <c r="E147" s="37" t="b">
        <v>0</v>
      </c>
      <c r="F147" s="37"/>
      <c r="G147" s="65">
        <v>46022</v>
      </c>
      <c r="H147" s="35">
        <v>1</v>
      </c>
      <c r="I147" s="35">
        <v>46</v>
      </c>
      <c r="J147" s="95">
        <v>21916</v>
      </c>
      <c r="K147" s="86">
        <v>7002224850</v>
      </c>
      <c r="L147" s="87">
        <v>530146987</v>
      </c>
      <c r="M147" s="81">
        <v>2126321674</v>
      </c>
      <c r="N147" s="35" t="s">
        <v>64</v>
      </c>
      <c r="O147" s="42" t="s">
        <v>97</v>
      </c>
      <c r="P147" s="35">
        <v>10.1</v>
      </c>
      <c r="Q147" s="35">
        <v>4</v>
      </c>
      <c r="R147" s="35">
        <f t="shared" si="75"/>
        <v>40.4</v>
      </c>
      <c r="S147" s="43">
        <v>50000</v>
      </c>
      <c r="T147" s="44">
        <f t="shared" si="76"/>
        <v>5000</v>
      </c>
      <c r="U147" s="63">
        <f t="shared" si="77"/>
        <v>55000</v>
      </c>
      <c r="V147" s="106"/>
      <c r="W147" s="106"/>
      <c r="X147" s="52">
        <v>0</v>
      </c>
      <c r="Y147" s="48">
        <f t="shared" si="54"/>
        <v>0</v>
      </c>
      <c r="Z147" s="69">
        <v>0</v>
      </c>
      <c r="AA147" s="50">
        <f t="shared" si="70"/>
        <v>0</v>
      </c>
      <c r="AB147" s="50"/>
      <c r="AC147" s="52">
        <v>57500</v>
      </c>
      <c r="AD147" s="52">
        <f>S147*1.15-AC147</f>
        <v>0</v>
      </c>
      <c r="AE147" s="53">
        <f>S147*1.15+X147-AB147-AC147</f>
        <v>0</v>
      </c>
      <c r="AF147" s="52" t="b">
        <v>0</v>
      </c>
      <c r="AG147" s="52"/>
      <c r="AH147" s="52"/>
      <c r="AI147" s="52"/>
      <c r="AJ147" s="52"/>
      <c r="AK147" s="52"/>
      <c r="AL147" s="52"/>
      <c r="AM147" s="52" t="b">
        <v>0</v>
      </c>
      <c r="AN147" s="52"/>
      <c r="AO147" s="52"/>
      <c r="AP147" s="52"/>
      <c r="AQ147" s="52"/>
      <c r="AR147" s="52"/>
      <c r="AS147" s="52" t="b">
        <v>0</v>
      </c>
      <c r="AT147" s="52"/>
      <c r="AU147" s="52"/>
      <c r="AV147" s="52"/>
      <c r="AW147" s="52"/>
      <c r="AX147" s="52" t="str">
        <f t="shared" si="55"/>
        <v>ملتزم</v>
      </c>
      <c r="AY147" s="54" t="s">
        <v>69</v>
      </c>
      <c r="AZ147" s="43" t="s">
        <v>107</v>
      </c>
      <c r="BA147" s="55"/>
      <c r="BB147" s="55"/>
      <c r="BC147" s="55"/>
      <c r="BD147" s="54"/>
      <c r="BE147" s="68">
        <v>31740</v>
      </c>
      <c r="BF147" s="54"/>
      <c r="BG147" s="54"/>
      <c r="BH147" s="54"/>
      <c r="BI147" s="54" t="s">
        <v>76</v>
      </c>
      <c r="BJ147" s="54">
        <f>(U147+V147+AE147)-BD147-BE147</f>
        <v>23260</v>
      </c>
      <c r="BK147" s="54" t="s">
        <v>79</v>
      </c>
    </row>
    <row r="148" spans="1:63" ht="34.5" hidden="1" customHeight="1" x14ac:dyDescent="0.25">
      <c r="A148" s="35">
        <f t="shared" si="64"/>
        <v>51</v>
      </c>
      <c r="B148" s="35" t="s">
        <v>328</v>
      </c>
      <c r="C148" s="105">
        <v>20161246174</v>
      </c>
      <c r="D148" s="37" t="s">
        <v>106</v>
      </c>
      <c r="E148" s="37" t="b">
        <v>0</v>
      </c>
      <c r="F148" s="37"/>
      <c r="G148" s="65">
        <v>46022</v>
      </c>
      <c r="H148" s="35">
        <v>2</v>
      </c>
      <c r="I148" s="35" t="s">
        <v>329</v>
      </c>
      <c r="J148" s="110">
        <v>27030</v>
      </c>
      <c r="K148" s="81">
        <v>7011538126</v>
      </c>
      <c r="L148" s="81">
        <v>533370560</v>
      </c>
      <c r="M148" s="81">
        <v>2251217358</v>
      </c>
      <c r="N148" s="35" t="s">
        <v>73</v>
      </c>
      <c r="O148" s="35" t="s">
        <v>97</v>
      </c>
      <c r="P148" s="35">
        <v>10</v>
      </c>
      <c r="Q148" s="35">
        <v>4</v>
      </c>
      <c r="R148" s="35">
        <f t="shared" si="75"/>
        <v>40</v>
      </c>
      <c r="S148" s="44">
        <v>60000</v>
      </c>
      <c r="T148" s="44">
        <f t="shared" si="76"/>
        <v>6000</v>
      </c>
      <c r="U148" s="63">
        <f t="shared" si="77"/>
        <v>66000</v>
      </c>
      <c r="V148" s="140"/>
      <c r="W148" s="140"/>
      <c r="X148" s="52">
        <v>0</v>
      </c>
      <c r="Y148" s="48">
        <f t="shared" si="54"/>
        <v>0</v>
      </c>
      <c r="Z148" s="50">
        <v>0</v>
      </c>
      <c r="AA148" s="50">
        <f t="shared" si="70"/>
        <v>0</v>
      </c>
      <c r="AB148" s="50"/>
      <c r="AC148" s="52">
        <v>69000</v>
      </c>
      <c r="AD148" s="52">
        <f>S148*1.15-AC148</f>
        <v>0</v>
      </c>
      <c r="AE148" s="53">
        <f>S148*1.15+X148-AB148-AC148</f>
        <v>0</v>
      </c>
      <c r="AF148" s="52" t="b">
        <v>1</v>
      </c>
      <c r="AG148" s="117">
        <v>45698</v>
      </c>
      <c r="AH148" s="52">
        <v>50830</v>
      </c>
      <c r="AI148" s="54" t="s">
        <v>68</v>
      </c>
      <c r="AJ148" s="52" t="s">
        <v>136</v>
      </c>
      <c r="AK148" s="116" t="s">
        <v>330</v>
      </c>
      <c r="AL148" s="116"/>
      <c r="AM148" s="52" t="b">
        <v>0</v>
      </c>
      <c r="AN148" s="126" t="s">
        <v>152</v>
      </c>
      <c r="AO148" s="52">
        <v>50830</v>
      </c>
      <c r="AP148" s="54"/>
      <c r="AQ148" s="54"/>
      <c r="AR148" s="52"/>
      <c r="AS148" s="52" t="b">
        <v>0</v>
      </c>
      <c r="AT148" s="54"/>
      <c r="AU148" s="52"/>
      <c r="AV148" s="52"/>
      <c r="AW148" s="52"/>
      <c r="AX148" s="52" t="str">
        <f t="shared" si="55"/>
        <v>ملتزم</v>
      </c>
      <c r="AY148" s="54" t="s">
        <v>77</v>
      </c>
      <c r="AZ148" s="43" t="s">
        <v>107</v>
      </c>
      <c r="BA148" s="55"/>
      <c r="BB148" s="55"/>
      <c r="BC148" s="55"/>
      <c r="BD148" s="54"/>
      <c r="BE148" s="68">
        <v>25300</v>
      </c>
      <c r="BF148" s="54"/>
      <c r="BG148" s="54"/>
      <c r="BH148" s="54"/>
      <c r="BI148" s="52" t="s">
        <v>76</v>
      </c>
      <c r="BJ148" s="54">
        <f>(U148+V148+AE148)-BD148-BE148</f>
        <v>40700</v>
      </c>
      <c r="BK148" s="54"/>
    </row>
    <row r="149" spans="1:63" ht="34.5" hidden="1" customHeight="1" x14ac:dyDescent="0.25">
      <c r="A149" s="35">
        <f t="shared" si="64"/>
        <v>52</v>
      </c>
      <c r="B149" s="57" t="s">
        <v>331</v>
      </c>
      <c r="C149" s="57">
        <v>20246601656</v>
      </c>
      <c r="D149" s="37" t="s">
        <v>106</v>
      </c>
      <c r="E149" s="37" t="b">
        <v>0</v>
      </c>
      <c r="F149" s="37"/>
      <c r="G149" s="65">
        <v>46022</v>
      </c>
      <c r="H149" s="42">
        <v>1</v>
      </c>
      <c r="I149" s="42">
        <v>10</v>
      </c>
      <c r="J149" s="59" t="s">
        <v>332</v>
      </c>
      <c r="K149" s="61">
        <v>7014477546</v>
      </c>
      <c r="L149" s="61">
        <v>530737559</v>
      </c>
      <c r="M149" s="61">
        <v>1096482144</v>
      </c>
      <c r="N149" s="35" t="s">
        <v>73</v>
      </c>
      <c r="O149" s="42" t="s">
        <v>74</v>
      </c>
      <c r="P149" s="35"/>
      <c r="Q149" s="35"/>
      <c r="R149" s="35">
        <v>64.400000000000006</v>
      </c>
      <c r="S149" s="62">
        <v>25000</v>
      </c>
      <c r="T149" s="44">
        <f t="shared" si="76"/>
        <v>2500</v>
      </c>
      <c r="U149" s="63">
        <f t="shared" si="77"/>
        <v>27500</v>
      </c>
      <c r="V149" s="64"/>
      <c r="W149" s="64"/>
      <c r="X149" s="51"/>
      <c r="Y149" s="48">
        <f t="shared" si="54"/>
        <v>0</v>
      </c>
      <c r="Z149" s="49">
        <v>0</v>
      </c>
      <c r="AA149" s="50">
        <f t="shared" si="70"/>
        <v>0</v>
      </c>
      <c r="AB149" s="50">
        <v>0</v>
      </c>
      <c r="AC149" s="51">
        <v>28750</v>
      </c>
      <c r="AD149" s="52">
        <f>S149*1.15-AC149</f>
        <v>0</v>
      </c>
      <c r="AE149" s="53">
        <f>S149*1.15+X149-AB149-AC149</f>
        <v>0</v>
      </c>
      <c r="AF149" s="52" t="b">
        <v>0</v>
      </c>
      <c r="AG149" s="52"/>
      <c r="AH149" s="52"/>
      <c r="AI149" s="52"/>
      <c r="AJ149" s="52"/>
      <c r="AK149" s="52"/>
      <c r="AL149" s="52"/>
      <c r="AM149" s="52" t="b">
        <v>0</v>
      </c>
      <c r="AN149" s="52"/>
      <c r="AO149" s="52"/>
      <c r="AP149" s="52"/>
      <c r="AQ149" s="52"/>
      <c r="AR149" s="52"/>
      <c r="AS149" s="52" t="b">
        <v>0</v>
      </c>
      <c r="AT149" s="52"/>
      <c r="AU149" s="52"/>
      <c r="AV149" s="52"/>
      <c r="AW149" s="52"/>
      <c r="AX149" s="52" t="str">
        <f t="shared" si="55"/>
        <v>ملتزم</v>
      </c>
      <c r="AY149" s="54" t="s">
        <v>77</v>
      </c>
      <c r="AZ149" s="43" t="s">
        <v>107</v>
      </c>
      <c r="BA149" s="70"/>
      <c r="BB149" s="70"/>
      <c r="BC149" s="70"/>
      <c r="BD149" s="54"/>
      <c r="BE149" s="68">
        <v>15927.75</v>
      </c>
      <c r="BF149" s="54"/>
      <c r="BG149" s="54"/>
      <c r="BH149" s="54"/>
      <c r="BI149" s="54" t="s">
        <v>72</v>
      </c>
      <c r="BJ149" s="54">
        <f>(U149+V149+AE149)-BD149-BE149</f>
        <v>11572.25</v>
      </c>
      <c r="BK149" s="54" t="s">
        <v>79</v>
      </c>
    </row>
    <row r="150" spans="1:63" ht="34.5" hidden="1" customHeight="1" x14ac:dyDescent="0.25">
      <c r="A150" s="35">
        <f t="shared" si="64"/>
        <v>53</v>
      </c>
      <c r="B150" s="35" t="s">
        <v>331</v>
      </c>
      <c r="C150" s="105">
        <v>20115031025</v>
      </c>
      <c r="D150" s="37" t="s">
        <v>106</v>
      </c>
      <c r="E150" s="37" t="b">
        <v>0</v>
      </c>
      <c r="F150" s="37"/>
      <c r="G150" s="113">
        <v>46022</v>
      </c>
      <c r="H150" s="35">
        <v>1</v>
      </c>
      <c r="I150" s="35">
        <v>212</v>
      </c>
      <c r="J150" s="95" t="s">
        <v>332</v>
      </c>
      <c r="K150" s="114">
        <v>7014477546</v>
      </c>
      <c r="L150" s="114">
        <v>530737559</v>
      </c>
      <c r="M150" s="81">
        <v>1096482144</v>
      </c>
      <c r="N150" s="35" t="s">
        <v>73</v>
      </c>
      <c r="O150" s="35" t="s">
        <v>97</v>
      </c>
      <c r="P150" s="35">
        <v>4.08</v>
      </c>
      <c r="Q150" s="35">
        <v>3.95</v>
      </c>
      <c r="R150" s="35">
        <f>P150*Q150</f>
        <v>16.116</v>
      </c>
      <c r="S150" s="44">
        <v>30000</v>
      </c>
      <c r="T150" s="44">
        <f>S150*20/100</f>
        <v>6000</v>
      </c>
      <c r="U150" s="63">
        <f>S150+T150+200</f>
        <v>36200</v>
      </c>
      <c r="V150" s="44"/>
      <c r="W150" s="44"/>
      <c r="X150" s="54">
        <v>0</v>
      </c>
      <c r="Y150" s="89">
        <f t="shared" si="54"/>
        <v>0</v>
      </c>
      <c r="Z150" s="91">
        <v>0</v>
      </c>
      <c r="AA150" s="91">
        <f t="shared" si="70"/>
        <v>0</v>
      </c>
      <c r="AB150" s="91"/>
      <c r="AC150" s="54">
        <v>34500</v>
      </c>
      <c r="AD150" s="54">
        <f>S150*1.15-AC150</f>
        <v>0</v>
      </c>
      <c r="AE150" s="53">
        <f>S150*1.15+X150-AB150-AC150</f>
        <v>0</v>
      </c>
      <c r="AF150" s="52" t="b">
        <v>0</v>
      </c>
      <c r="AG150" s="52"/>
      <c r="AH150" s="52"/>
      <c r="AI150" s="52"/>
      <c r="AJ150" s="52"/>
      <c r="AK150" s="52"/>
      <c r="AL150" s="52"/>
      <c r="AM150" s="52" t="b">
        <v>0</v>
      </c>
      <c r="AN150" s="52"/>
      <c r="AO150" s="52"/>
      <c r="AP150" s="52"/>
      <c r="AQ150" s="52"/>
      <c r="AR150" s="52"/>
      <c r="AS150" s="52" t="b">
        <v>0</v>
      </c>
      <c r="AT150" s="54"/>
      <c r="AU150" s="54"/>
      <c r="AV150" s="54"/>
      <c r="AW150" s="54"/>
      <c r="AX150" s="54" t="str">
        <f t="shared" si="55"/>
        <v>ملتزم</v>
      </c>
      <c r="AY150" s="54" t="s">
        <v>69</v>
      </c>
      <c r="AZ150" s="43" t="s">
        <v>107</v>
      </c>
      <c r="BA150" s="55"/>
      <c r="BB150" s="55"/>
      <c r="BC150" s="55"/>
      <c r="BD150" s="54"/>
      <c r="BE150" s="68">
        <v>10407</v>
      </c>
      <c r="BF150" s="54"/>
      <c r="BG150" s="54"/>
      <c r="BH150" s="54"/>
      <c r="BI150" s="54" t="s">
        <v>112</v>
      </c>
      <c r="BJ150" s="54">
        <f>(U150+V150+AE150)-BD150-BE150</f>
        <v>25793</v>
      </c>
      <c r="BK150" s="54" t="s">
        <v>113</v>
      </c>
    </row>
    <row r="151" spans="1:63" ht="34.5" hidden="1" customHeight="1" x14ac:dyDescent="0.25">
      <c r="A151" s="35">
        <f t="shared" si="64"/>
        <v>54</v>
      </c>
      <c r="B151" s="57" t="s">
        <v>333</v>
      </c>
      <c r="C151" s="57">
        <v>20344171028</v>
      </c>
      <c r="D151" s="37" t="s">
        <v>106</v>
      </c>
      <c r="E151" s="37"/>
      <c r="F151" s="37"/>
      <c r="G151" s="65">
        <v>46022</v>
      </c>
      <c r="H151" s="42">
        <v>1</v>
      </c>
      <c r="I151" s="42">
        <v>14</v>
      </c>
      <c r="J151" s="97" t="s">
        <v>334</v>
      </c>
      <c r="K151" s="98"/>
      <c r="L151" s="98"/>
      <c r="M151" s="98">
        <v>1086690284</v>
      </c>
      <c r="N151" s="35" t="s">
        <v>73</v>
      </c>
      <c r="O151" s="42" t="s">
        <v>74</v>
      </c>
      <c r="P151" s="35"/>
      <c r="Q151" s="35"/>
      <c r="R151" s="35">
        <v>54.2</v>
      </c>
      <c r="S151" s="62">
        <v>25000</v>
      </c>
      <c r="T151" s="44">
        <f t="shared" ref="T151:T160" si="78">S151*10/100</f>
        <v>2500</v>
      </c>
      <c r="U151" s="63">
        <f t="shared" ref="U151:U161" si="79">S151+T151</f>
        <v>27500</v>
      </c>
      <c r="V151" s="64"/>
      <c r="W151" s="64"/>
      <c r="X151" s="51">
        <v>0</v>
      </c>
      <c r="Y151" s="48">
        <f t="shared" si="54"/>
        <v>0</v>
      </c>
      <c r="Z151" s="49">
        <v>0</v>
      </c>
      <c r="AA151" s="50">
        <f t="shared" si="70"/>
        <v>0</v>
      </c>
      <c r="AB151" s="50"/>
      <c r="AC151" s="51">
        <v>28750</v>
      </c>
      <c r="AD151" s="52">
        <f>S151*1.15-AC151</f>
        <v>0</v>
      </c>
      <c r="AE151" s="52">
        <f>S151*1.15+X151-AB151-AC151</f>
        <v>0</v>
      </c>
      <c r="AF151" s="52" t="b">
        <v>0</v>
      </c>
      <c r="AG151" s="52"/>
      <c r="AH151" s="52"/>
      <c r="AI151" s="52"/>
      <c r="AJ151" s="52"/>
      <c r="AK151" s="52"/>
      <c r="AL151" s="52"/>
      <c r="AM151" s="52" t="b">
        <v>0</v>
      </c>
      <c r="AN151" s="52"/>
      <c r="AO151" s="52"/>
      <c r="AP151" s="52"/>
      <c r="AQ151" s="52"/>
      <c r="AR151" s="52"/>
      <c r="AS151" s="52" t="b">
        <v>0</v>
      </c>
      <c r="AT151" s="52"/>
      <c r="AU151" s="52"/>
      <c r="AV151" s="52"/>
      <c r="AW151" s="52"/>
      <c r="AX151" s="52" t="str">
        <f t="shared" si="55"/>
        <v>ملتزم</v>
      </c>
      <c r="AY151" s="54" t="s">
        <v>77</v>
      </c>
      <c r="AZ151" s="43" t="s">
        <v>107</v>
      </c>
      <c r="BA151" s="55"/>
      <c r="BB151" s="55"/>
      <c r="BC151" s="55"/>
      <c r="BD151" s="54"/>
      <c r="BE151" s="68">
        <v>15209</v>
      </c>
      <c r="BF151" s="54"/>
      <c r="BG151" s="54"/>
      <c r="BH151" s="54"/>
      <c r="BI151" s="54" t="s">
        <v>112</v>
      </c>
      <c r="BJ151" s="54">
        <f>(U151+V151+AE151)-BD151-BE151</f>
        <v>12291</v>
      </c>
      <c r="BK151" s="54" t="s">
        <v>113</v>
      </c>
    </row>
    <row r="152" spans="1:63" ht="34.5" hidden="1" customHeight="1" x14ac:dyDescent="0.25">
      <c r="A152" s="35">
        <f t="shared" si="64"/>
        <v>55</v>
      </c>
      <c r="B152" s="57" t="s">
        <v>333</v>
      </c>
      <c r="C152" s="57">
        <v>20828197945</v>
      </c>
      <c r="D152" s="37" t="s">
        <v>106</v>
      </c>
      <c r="E152" s="37" t="b">
        <v>0</v>
      </c>
      <c r="F152" s="37"/>
      <c r="G152" s="65">
        <v>46022</v>
      </c>
      <c r="H152" s="42">
        <v>1</v>
      </c>
      <c r="I152" s="42">
        <v>15</v>
      </c>
      <c r="J152" s="59" t="s">
        <v>334</v>
      </c>
      <c r="K152" s="61"/>
      <c r="L152" s="61"/>
      <c r="M152" s="61"/>
      <c r="N152" s="35" t="s">
        <v>73</v>
      </c>
      <c r="O152" s="42" t="s">
        <v>74</v>
      </c>
      <c r="P152" s="35"/>
      <c r="Q152" s="35"/>
      <c r="R152" s="35">
        <v>104.2</v>
      </c>
      <c r="S152" s="62">
        <v>25000</v>
      </c>
      <c r="T152" s="44">
        <f t="shared" si="78"/>
        <v>2500</v>
      </c>
      <c r="U152" s="63">
        <f t="shared" si="79"/>
        <v>27500</v>
      </c>
      <c r="V152" s="64"/>
      <c r="W152" s="64"/>
      <c r="X152" s="52"/>
      <c r="Y152" s="48">
        <f t="shared" si="54"/>
        <v>0</v>
      </c>
      <c r="Z152" s="69">
        <v>0</v>
      </c>
      <c r="AA152" s="50">
        <f t="shared" si="70"/>
        <v>0</v>
      </c>
      <c r="AB152" s="50"/>
      <c r="AC152" s="52">
        <v>28750</v>
      </c>
      <c r="AD152" s="52">
        <f>S152*1.15-AC152</f>
        <v>0</v>
      </c>
      <c r="AE152" s="52">
        <f>S152*1.15+X152-AB152-AC152</f>
        <v>0</v>
      </c>
      <c r="AF152" s="52" t="b">
        <v>0</v>
      </c>
      <c r="AG152" s="52"/>
      <c r="AH152" s="52"/>
      <c r="AI152" s="52"/>
      <c r="AJ152" s="52"/>
      <c r="AK152" s="52"/>
      <c r="AL152" s="52"/>
      <c r="AM152" s="52" t="b">
        <v>0</v>
      </c>
      <c r="AN152" s="52"/>
      <c r="AO152" s="52"/>
      <c r="AP152" s="52"/>
      <c r="AQ152" s="52"/>
      <c r="AR152" s="52"/>
      <c r="AS152" s="52" t="b">
        <v>0</v>
      </c>
      <c r="AT152" s="52"/>
      <c r="AU152" s="52"/>
      <c r="AV152" s="52"/>
      <c r="AW152" s="52"/>
      <c r="AX152" s="52" t="str">
        <f t="shared" si="55"/>
        <v>ملتزم</v>
      </c>
      <c r="AY152" s="54" t="s">
        <v>77</v>
      </c>
      <c r="AZ152" s="43" t="s">
        <v>107</v>
      </c>
      <c r="BA152" s="55"/>
      <c r="BB152" s="55"/>
      <c r="BC152" s="55"/>
      <c r="BD152" s="54"/>
      <c r="BE152" s="68">
        <v>15209</v>
      </c>
      <c r="BF152" s="54"/>
      <c r="BG152" s="54"/>
      <c r="BH152" s="54"/>
      <c r="BI152" s="54" t="s">
        <v>112</v>
      </c>
      <c r="BJ152" s="54">
        <f>(U152+V152+AE152)-BD152-BE152</f>
        <v>12291</v>
      </c>
      <c r="BK152" s="54" t="s">
        <v>113</v>
      </c>
    </row>
    <row r="153" spans="1:63" ht="34.5" hidden="1" customHeight="1" x14ac:dyDescent="0.25">
      <c r="A153" s="35">
        <f t="shared" si="64"/>
        <v>56</v>
      </c>
      <c r="B153" s="57" t="s">
        <v>333</v>
      </c>
      <c r="C153" s="57">
        <v>20393673494</v>
      </c>
      <c r="D153" s="37" t="s">
        <v>106</v>
      </c>
      <c r="E153" s="37" t="b">
        <v>0</v>
      </c>
      <c r="F153" s="37"/>
      <c r="G153" s="65">
        <v>46022</v>
      </c>
      <c r="H153" s="42">
        <v>1</v>
      </c>
      <c r="I153" s="42">
        <v>16</v>
      </c>
      <c r="J153" s="97" t="s">
        <v>334</v>
      </c>
      <c r="K153" s="98"/>
      <c r="L153" s="98"/>
      <c r="M153" s="98">
        <v>1086690284</v>
      </c>
      <c r="N153" s="35" t="s">
        <v>73</v>
      </c>
      <c r="O153" s="42" t="s">
        <v>74</v>
      </c>
      <c r="P153" s="35"/>
      <c r="Q153" s="35"/>
      <c r="R153" s="35">
        <v>72.599999999999994</v>
      </c>
      <c r="S153" s="62">
        <v>25000</v>
      </c>
      <c r="T153" s="44">
        <f t="shared" si="78"/>
        <v>2500</v>
      </c>
      <c r="U153" s="63">
        <f t="shared" si="79"/>
        <v>27500</v>
      </c>
      <c r="V153" s="64"/>
      <c r="W153" s="64"/>
      <c r="X153" s="51"/>
      <c r="Y153" s="48">
        <f t="shared" si="54"/>
        <v>0</v>
      </c>
      <c r="Z153" s="49">
        <v>0</v>
      </c>
      <c r="AA153" s="50">
        <f t="shared" si="70"/>
        <v>0</v>
      </c>
      <c r="AB153" s="50"/>
      <c r="AC153" s="51">
        <v>28750</v>
      </c>
      <c r="AD153" s="52">
        <f>S153*1.15-AC153</f>
        <v>0</v>
      </c>
      <c r="AE153" s="52">
        <f>S153*1.15+X153-AB153-AC153</f>
        <v>0</v>
      </c>
      <c r="AF153" s="52" t="b">
        <v>0</v>
      </c>
      <c r="AG153" s="52"/>
      <c r="AH153" s="52"/>
      <c r="AI153" s="52"/>
      <c r="AJ153" s="52"/>
      <c r="AK153" s="52"/>
      <c r="AL153" s="52"/>
      <c r="AM153" s="52" t="b">
        <v>0</v>
      </c>
      <c r="AN153" s="52"/>
      <c r="AO153" s="52"/>
      <c r="AP153" s="52"/>
      <c r="AQ153" s="52"/>
      <c r="AR153" s="52"/>
      <c r="AS153" s="52" t="b">
        <v>0</v>
      </c>
      <c r="AT153" s="52"/>
      <c r="AU153" s="52"/>
      <c r="AV153" s="52"/>
      <c r="AW153" s="52"/>
      <c r="AX153" s="52" t="str">
        <f t="shared" si="55"/>
        <v>ملتزم</v>
      </c>
      <c r="AY153" s="54" t="s">
        <v>77</v>
      </c>
      <c r="AZ153" s="43" t="s">
        <v>107</v>
      </c>
      <c r="BA153" s="55"/>
      <c r="BB153" s="55"/>
      <c r="BC153" s="55"/>
      <c r="BD153" s="54"/>
      <c r="BE153" s="68">
        <v>15209</v>
      </c>
      <c r="BF153" s="54"/>
      <c r="BG153" s="54"/>
      <c r="BH153" s="54"/>
      <c r="BI153" s="54" t="s">
        <v>112</v>
      </c>
      <c r="BJ153" s="54">
        <f>(U153+V153+AE153)-BD153-BE153</f>
        <v>12291</v>
      </c>
      <c r="BK153" s="54" t="s">
        <v>113</v>
      </c>
    </row>
    <row r="154" spans="1:63" ht="34.5" hidden="1" customHeight="1" x14ac:dyDescent="0.25">
      <c r="A154" s="35">
        <f t="shared" si="64"/>
        <v>57</v>
      </c>
      <c r="B154" s="57" t="s">
        <v>333</v>
      </c>
      <c r="C154" s="57">
        <v>20250867654</v>
      </c>
      <c r="D154" s="37" t="s">
        <v>106</v>
      </c>
      <c r="E154" s="37" t="b">
        <v>0</v>
      </c>
      <c r="F154" s="37"/>
      <c r="G154" s="65">
        <v>46022</v>
      </c>
      <c r="H154" s="42">
        <v>1</v>
      </c>
      <c r="I154" s="42">
        <v>27</v>
      </c>
      <c r="J154" s="97" t="s">
        <v>334</v>
      </c>
      <c r="K154" s="98"/>
      <c r="L154" s="98"/>
      <c r="M154" s="98">
        <v>1086690284</v>
      </c>
      <c r="N154" s="35" t="s">
        <v>73</v>
      </c>
      <c r="O154" s="42" t="s">
        <v>74</v>
      </c>
      <c r="P154" s="35"/>
      <c r="Q154" s="35"/>
      <c r="R154" s="35">
        <v>77.3</v>
      </c>
      <c r="S154" s="62">
        <v>30000</v>
      </c>
      <c r="T154" s="44">
        <f t="shared" si="78"/>
        <v>3000</v>
      </c>
      <c r="U154" s="63">
        <f t="shared" si="79"/>
        <v>33000</v>
      </c>
      <c r="V154" s="64"/>
      <c r="W154" s="64"/>
      <c r="X154" s="51">
        <v>0</v>
      </c>
      <c r="Y154" s="48">
        <f t="shared" si="54"/>
        <v>0</v>
      </c>
      <c r="Z154" s="49">
        <v>0</v>
      </c>
      <c r="AA154" s="50">
        <f t="shared" si="70"/>
        <v>0</v>
      </c>
      <c r="AB154" s="50"/>
      <c r="AC154" s="51">
        <v>34500</v>
      </c>
      <c r="AD154" s="52">
        <f>S154*1.15-AC154</f>
        <v>0</v>
      </c>
      <c r="AE154" s="52">
        <f>S154*1.15+X154-AB154-AC154</f>
        <v>0</v>
      </c>
      <c r="AF154" s="52" t="b">
        <v>0</v>
      </c>
      <c r="AG154" s="52"/>
      <c r="AH154" s="52"/>
      <c r="AI154" s="52"/>
      <c r="AJ154" s="52"/>
      <c r="AK154" s="52"/>
      <c r="AL154" s="52"/>
      <c r="AM154" s="52" t="b">
        <v>0</v>
      </c>
      <c r="AN154" s="52"/>
      <c r="AO154" s="52"/>
      <c r="AP154" s="52"/>
      <c r="AQ154" s="52"/>
      <c r="AR154" s="52"/>
      <c r="AS154" s="52" t="b">
        <v>0</v>
      </c>
      <c r="AT154" s="52"/>
      <c r="AU154" s="52"/>
      <c r="AV154" s="52"/>
      <c r="AW154" s="52"/>
      <c r="AX154" s="52" t="str">
        <f t="shared" si="55"/>
        <v>ملتزم</v>
      </c>
      <c r="AY154" s="54" t="s">
        <v>192</v>
      </c>
      <c r="AZ154" s="43" t="s">
        <v>107</v>
      </c>
      <c r="BA154" s="55"/>
      <c r="BB154" s="55"/>
      <c r="BC154" s="55"/>
      <c r="BD154" s="54"/>
      <c r="BE154" s="68">
        <v>18227</v>
      </c>
      <c r="BF154" s="54"/>
      <c r="BG154" s="54"/>
      <c r="BH154" s="54"/>
      <c r="BI154" s="54" t="s">
        <v>112</v>
      </c>
      <c r="BJ154" s="54">
        <f>(U154+V154+AE154)-BD154-BE154</f>
        <v>14773</v>
      </c>
      <c r="BK154" s="54" t="s">
        <v>113</v>
      </c>
    </row>
    <row r="155" spans="1:63" ht="34.5" hidden="1" customHeight="1" x14ac:dyDescent="0.25">
      <c r="A155" s="35">
        <f t="shared" si="64"/>
        <v>58</v>
      </c>
      <c r="B155" s="57" t="s">
        <v>333</v>
      </c>
      <c r="C155" s="72">
        <v>20176837254</v>
      </c>
      <c r="D155" s="37" t="s">
        <v>106</v>
      </c>
      <c r="E155" s="37" t="b">
        <v>0</v>
      </c>
      <c r="F155" s="37"/>
      <c r="G155" s="65">
        <v>46022</v>
      </c>
      <c r="H155" s="42">
        <v>1</v>
      </c>
      <c r="I155" s="42">
        <v>32</v>
      </c>
      <c r="J155" s="97" t="s">
        <v>334</v>
      </c>
      <c r="K155" s="98"/>
      <c r="L155" s="98"/>
      <c r="M155" s="98">
        <v>1086690284</v>
      </c>
      <c r="N155" s="35" t="s">
        <v>73</v>
      </c>
      <c r="O155" s="42" t="s">
        <v>74</v>
      </c>
      <c r="P155" s="35"/>
      <c r="Q155" s="35"/>
      <c r="R155" s="35">
        <v>119.6</v>
      </c>
      <c r="S155" s="62">
        <v>17000</v>
      </c>
      <c r="T155" s="44">
        <f t="shared" si="78"/>
        <v>1700</v>
      </c>
      <c r="U155" s="63">
        <f t="shared" si="79"/>
        <v>18700</v>
      </c>
      <c r="V155" s="64"/>
      <c r="W155" s="64"/>
      <c r="X155" s="52">
        <v>0</v>
      </c>
      <c r="Y155" s="48">
        <f t="shared" si="54"/>
        <v>0</v>
      </c>
      <c r="Z155" s="69">
        <v>0</v>
      </c>
      <c r="AA155" s="50">
        <f t="shared" si="70"/>
        <v>0</v>
      </c>
      <c r="AB155" s="50"/>
      <c r="AC155" s="52">
        <v>19550</v>
      </c>
      <c r="AD155" s="52">
        <f>S155*1.15-AC155</f>
        <v>0</v>
      </c>
      <c r="AE155" s="53">
        <f>S155*1.15+X155-AB155-AC155</f>
        <v>0</v>
      </c>
      <c r="AF155" s="52" t="b">
        <v>0</v>
      </c>
      <c r="AG155" s="52"/>
      <c r="AH155" s="52"/>
      <c r="AI155" s="52"/>
      <c r="AJ155" s="52"/>
      <c r="AK155" s="52"/>
      <c r="AL155" s="52"/>
      <c r="AM155" s="52" t="b">
        <v>0</v>
      </c>
      <c r="AN155" s="52"/>
      <c r="AO155" s="52"/>
      <c r="AP155" s="52"/>
      <c r="AQ155" s="52"/>
      <c r="AR155" s="52"/>
      <c r="AS155" s="52" t="b">
        <v>0</v>
      </c>
      <c r="AT155" s="52"/>
      <c r="AU155" s="52"/>
      <c r="AV155" s="52"/>
      <c r="AW155" s="52"/>
      <c r="AX155" s="52" t="str">
        <f t="shared" si="55"/>
        <v>ملتزم</v>
      </c>
      <c r="AY155" s="54" t="s">
        <v>192</v>
      </c>
      <c r="AZ155" s="43" t="s">
        <v>107</v>
      </c>
      <c r="BA155" s="55"/>
      <c r="BB155" s="55"/>
      <c r="BC155" s="55"/>
      <c r="BD155" s="54"/>
      <c r="BE155" s="68">
        <v>10380</v>
      </c>
      <c r="BF155" s="54"/>
      <c r="BG155" s="54"/>
      <c r="BH155" s="54"/>
      <c r="BI155" s="54" t="s">
        <v>112</v>
      </c>
      <c r="BJ155" s="54">
        <f>(U155+V155+AE155)-BD155-BE155</f>
        <v>8320</v>
      </c>
      <c r="BK155" s="54" t="s">
        <v>113</v>
      </c>
    </row>
    <row r="156" spans="1:63" ht="34.5" hidden="1" customHeight="1" x14ac:dyDescent="0.25">
      <c r="A156" s="35">
        <f t="shared" si="64"/>
        <v>59</v>
      </c>
      <c r="B156" s="57" t="s">
        <v>333</v>
      </c>
      <c r="C156" s="57">
        <v>20065751444</v>
      </c>
      <c r="D156" s="37" t="s">
        <v>106</v>
      </c>
      <c r="E156" s="37" t="b">
        <v>0</v>
      </c>
      <c r="F156" s="37"/>
      <c r="G156" s="65">
        <v>46022</v>
      </c>
      <c r="H156" s="42">
        <v>9</v>
      </c>
      <c r="I156" s="42" t="s">
        <v>335</v>
      </c>
      <c r="J156" s="97" t="s">
        <v>334</v>
      </c>
      <c r="K156" s="98"/>
      <c r="L156" s="98"/>
      <c r="M156" s="98">
        <v>1086690284</v>
      </c>
      <c r="N156" s="35" t="s">
        <v>73</v>
      </c>
      <c r="O156" s="42" t="s">
        <v>74</v>
      </c>
      <c r="P156" s="35">
        <v>43</v>
      </c>
      <c r="Q156" s="35">
        <v>13.5</v>
      </c>
      <c r="R156" s="35">
        <f t="shared" ref="R156:R162" si="80">P156*Q156</f>
        <v>580.5</v>
      </c>
      <c r="S156" s="62">
        <v>117500</v>
      </c>
      <c r="T156" s="44">
        <f t="shared" si="78"/>
        <v>11750</v>
      </c>
      <c r="U156" s="63">
        <f t="shared" si="79"/>
        <v>129250</v>
      </c>
      <c r="V156" s="99"/>
      <c r="W156" s="99"/>
      <c r="X156" s="52">
        <v>0</v>
      </c>
      <c r="Y156" s="48">
        <f t="shared" si="54"/>
        <v>0</v>
      </c>
      <c r="Z156" s="69">
        <v>0</v>
      </c>
      <c r="AA156" s="50">
        <f t="shared" si="70"/>
        <v>0</v>
      </c>
      <c r="AB156" s="50"/>
      <c r="AC156" s="52">
        <v>135125</v>
      </c>
      <c r="AD156" s="52">
        <f>S156*1.15-AC156</f>
        <v>0</v>
      </c>
      <c r="AE156" s="53">
        <f>S156*1.15+X156-AB156-AC156</f>
        <v>0</v>
      </c>
      <c r="AF156" s="52" t="b">
        <v>0</v>
      </c>
      <c r="AG156" s="52"/>
      <c r="AH156" s="52"/>
      <c r="AI156" s="52"/>
      <c r="AJ156" s="52"/>
      <c r="AK156" s="52"/>
      <c r="AL156" s="52"/>
      <c r="AM156" s="52" t="b">
        <v>0</v>
      </c>
      <c r="AN156" s="52"/>
      <c r="AO156" s="52"/>
      <c r="AP156" s="52"/>
      <c r="AQ156" s="52"/>
      <c r="AR156" s="52"/>
      <c r="AS156" s="52" t="b">
        <v>0</v>
      </c>
      <c r="AT156" s="52"/>
      <c r="AU156" s="52"/>
      <c r="AV156" s="52"/>
      <c r="AW156" s="52"/>
      <c r="AX156" s="52" t="str">
        <f t="shared" si="55"/>
        <v>ملتزم</v>
      </c>
      <c r="AY156" s="54" t="s">
        <v>69</v>
      </c>
      <c r="AZ156" s="43" t="s">
        <v>107</v>
      </c>
      <c r="BA156" s="55"/>
      <c r="BB156" s="55"/>
      <c r="BC156" s="55"/>
      <c r="BD156" s="54"/>
      <c r="BE156" s="68">
        <v>71055.12</v>
      </c>
      <c r="BF156" s="54"/>
      <c r="BG156" s="54"/>
      <c r="BH156" s="54"/>
      <c r="BI156" s="54" t="s">
        <v>76</v>
      </c>
      <c r="BJ156" s="54">
        <f>(U156+V156+AE156)-BD156-BE156</f>
        <v>58194.880000000005</v>
      </c>
      <c r="BK156" s="54" t="s">
        <v>113</v>
      </c>
    </row>
    <row r="157" spans="1:63" ht="34.5" hidden="1" customHeight="1" x14ac:dyDescent="0.25">
      <c r="A157" s="35">
        <f t="shared" si="64"/>
        <v>60</v>
      </c>
      <c r="B157" s="35" t="s">
        <v>333</v>
      </c>
      <c r="C157" s="105">
        <v>20429071594</v>
      </c>
      <c r="D157" s="37" t="s">
        <v>106</v>
      </c>
      <c r="E157" s="37" t="b">
        <v>0</v>
      </c>
      <c r="F157" s="37"/>
      <c r="G157" s="65">
        <v>46022</v>
      </c>
      <c r="H157" s="35">
        <v>8</v>
      </c>
      <c r="I157" s="35" t="s">
        <v>336</v>
      </c>
      <c r="J157" s="95" t="s">
        <v>334</v>
      </c>
      <c r="K157" s="81"/>
      <c r="L157" s="81"/>
      <c r="M157" s="81">
        <v>1086690284</v>
      </c>
      <c r="N157" s="35" t="s">
        <v>73</v>
      </c>
      <c r="O157" s="35" t="s">
        <v>97</v>
      </c>
      <c r="P157" s="35">
        <v>15.6</v>
      </c>
      <c r="Q157" s="35">
        <v>10.8</v>
      </c>
      <c r="R157" s="35">
        <f t="shared" si="80"/>
        <v>168.48000000000002</v>
      </c>
      <c r="S157" s="44">
        <v>248000</v>
      </c>
      <c r="T157" s="44">
        <f t="shared" si="78"/>
        <v>24800</v>
      </c>
      <c r="U157" s="63">
        <f t="shared" si="79"/>
        <v>272800</v>
      </c>
      <c r="V157" s="106"/>
      <c r="W157" s="106"/>
      <c r="X157" s="52">
        <v>0</v>
      </c>
      <c r="Y157" s="48">
        <f t="shared" si="54"/>
        <v>0</v>
      </c>
      <c r="Z157" s="50">
        <v>0</v>
      </c>
      <c r="AA157" s="50">
        <f t="shared" si="70"/>
        <v>0</v>
      </c>
      <c r="AB157" s="50"/>
      <c r="AC157" s="52">
        <v>285200</v>
      </c>
      <c r="AD157" s="52">
        <f>S157*1.15-AC157</f>
        <v>0</v>
      </c>
      <c r="AE157" s="53">
        <f>S157*1.15+X157-AB157-AC157</f>
        <v>0</v>
      </c>
      <c r="AF157" s="52" t="b">
        <v>0</v>
      </c>
      <c r="AG157" s="52"/>
      <c r="AH157" s="52"/>
      <c r="AI157" s="52"/>
      <c r="AJ157" s="52"/>
      <c r="AK157" s="52"/>
      <c r="AL157" s="52"/>
      <c r="AM157" s="52" t="b">
        <v>0</v>
      </c>
      <c r="AN157" s="52"/>
      <c r="AO157" s="52"/>
      <c r="AP157" s="52"/>
      <c r="AQ157" s="52"/>
      <c r="AR157" s="52"/>
      <c r="AS157" s="52" t="b">
        <v>0</v>
      </c>
      <c r="AT157" s="52"/>
      <c r="AU157" s="52"/>
      <c r="AV157" s="52"/>
      <c r="AW157" s="52"/>
      <c r="AX157" s="52" t="str">
        <f t="shared" si="55"/>
        <v>ملتزم</v>
      </c>
      <c r="AY157" s="54" t="s">
        <v>69</v>
      </c>
      <c r="AZ157" s="43" t="s">
        <v>107</v>
      </c>
      <c r="BA157" s="55"/>
      <c r="BB157" s="55"/>
      <c r="BC157" s="55"/>
      <c r="BD157" s="54"/>
      <c r="BE157" s="68">
        <v>149960</v>
      </c>
      <c r="BF157" s="54"/>
      <c r="BG157" s="54"/>
      <c r="BH157" s="54"/>
      <c r="BI157" s="54" t="s">
        <v>76</v>
      </c>
      <c r="BJ157" s="54">
        <f>(U157+V157+AE157)-BD157-BE157</f>
        <v>122840</v>
      </c>
      <c r="BK157" s="54" t="s">
        <v>113</v>
      </c>
    </row>
    <row r="158" spans="1:63" ht="34.5" hidden="1" customHeight="1" x14ac:dyDescent="0.25">
      <c r="A158" s="35">
        <f t="shared" si="64"/>
        <v>61</v>
      </c>
      <c r="B158" s="35" t="s">
        <v>333</v>
      </c>
      <c r="C158" s="105">
        <v>20824295035</v>
      </c>
      <c r="D158" s="37" t="s">
        <v>106</v>
      </c>
      <c r="E158" s="37" t="b">
        <v>0</v>
      </c>
      <c r="F158" s="37"/>
      <c r="G158" s="65">
        <v>46022</v>
      </c>
      <c r="H158" s="35">
        <v>2</v>
      </c>
      <c r="I158" s="35" t="s">
        <v>337</v>
      </c>
      <c r="J158" s="95" t="s">
        <v>334</v>
      </c>
      <c r="K158" s="81"/>
      <c r="L158" s="81"/>
      <c r="M158" s="81">
        <v>1086690284</v>
      </c>
      <c r="N158" s="35" t="s">
        <v>73</v>
      </c>
      <c r="O158" s="35" t="s">
        <v>97</v>
      </c>
      <c r="P158" s="35">
        <v>10</v>
      </c>
      <c r="Q158" s="35">
        <v>6.5</v>
      </c>
      <c r="R158" s="35">
        <f t="shared" si="80"/>
        <v>65</v>
      </c>
      <c r="S158" s="44">
        <v>60000</v>
      </c>
      <c r="T158" s="44">
        <f t="shared" si="78"/>
        <v>6000</v>
      </c>
      <c r="U158" s="63">
        <f t="shared" si="79"/>
        <v>66000</v>
      </c>
      <c r="V158" s="106"/>
      <c r="W158" s="106"/>
      <c r="X158" s="52">
        <v>0</v>
      </c>
      <c r="Y158" s="48">
        <f t="shared" si="54"/>
        <v>0</v>
      </c>
      <c r="Z158" s="50">
        <v>0</v>
      </c>
      <c r="AA158" s="50">
        <f t="shared" si="70"/>
        <v>0</v>
      </c>
      <c r="AB158" s="50"/>
      <c r="AC158" s="52">
        <v>69000</v>
      </c>
      <c r="AD158" s="52">
        <f>S158*1.15-AC158</f>
        <v>0</v>
      </c>
      <c r="AE158" s="53">
        <f>S158*1.15+X158-AB158-AC158</f>
        <v>0</v>
      </c>
      <c r="AF158" s="52" t="b">
        <v>0</v>
      </c>
      <c r="AG158" s="52"/>
      <c r="AH158" s="52"/>
      <c r="AI158" s="52"/>
      <c r="AJ158" s="52"/>
      <c r="AK158" s="52"/>
      <c r="AL158" s="52"/>
      <c r="AM158" s="52" t="b">
        <v>0</v>
      </c>
      <c r="AN158" s="52"/>
      <c r="AO158" s="52"/>
      <c r="AP158" s="52"/>
      <c r="AQ158" s="52"/>
      <c r="AR158" s="52"/>
      <c r="AS158" s="52" t="b">
        <v>0</v>
      </c>
      <c r="AT158" s="52"/>
      <c r="AU158" s="52"/>
      <c r="AV158" s="52"/>
      <c r="AW158" s="52"/>
      <c r="AX158" s="52" t="str">
        <f t="shared" si="55"/>
        <v>ملتزم</v>
      </c>
      <c r="AY158" s="54" t="s">
        <v>69</v>
      </c>
      <c r="AZ158" s="43" t="s">
        <v>107</v>
      </c>
      <c r="BA158" s="55"/>
      <c r="BB158" s="55"/>
      <c r="BC158" s="55"/>
      <c r="BD158" s="54"/>
      <c r="BE158" s="68">
        <v>36340</v>
      </c>
      <c r="BF158" s="54"/>
      <c r="BG158" s="54"/>
      <c r="BH158" s="54"/>
      <c r="BI158" s="54" t="s">
        <v>76</v>
      </c>
      <c r="BJ158" s="54">
        <f>(U158+V158+AE158)-BD158-BE158</f>
        <v>29660</v>
      </c>
      <c r="BK158" s="54" t="s">
        <v>113</v>
      </c>
    </row>
    <row r="159" spans="1:63" ht="34.5" hidden="1" customHeight="1" x14ac:dyDescent="0.25">
      <c r="A159" s="35">
        <f t="shared" si="64"/>
        <v>62</v>
      </c>
      <c r="B159" s="57" t="s">
        <v>333</v>
      </c>
      <c r="C159" s="72">
        <v>20587804523</v>
      </c>
      <c r="D159" s="37" t="s">
        <v>106</v>
      </c>
      <c r="E159" s="37" t="b">
        <v>0</v>
      </c>
      <c r="F159" s="37"/>
      <c r="G159" s="65">
        <v>46022</v>
      </c>
      <c r="H159" s="42">
        <v>2</v>
      </c>
      <c r="I159" s="42" t="s">
        <v>338</v>
      </c>
      <c r="J159" s="97" t="s">
        <v>334</v>
      </c>
      <c r="K159" s="98"/>
      <c r="L159" s="98"/>
      <c r="M159" s="98">
        <v>1086690284</v>
      </c>
      <c r="N159" s="35" t="s">
        <v>73</v>
      </c>
      <c r="O159" s="42" t="s">
        <v>74</v>
      </c>
      <c r="P159" s="35"/>
      <c r="Q159" s="35"/>
      <c r="R159" s="35">
        <f t="shared" si="80"/>
        <v>0</v>
      </c>
      <c r="S159" s="62">
        <v>60000</v>
      </c>
      <c r="T159" s="44">
        <f t="shared" si="78"/>
        <v>6000</v>
      </c>
      <c r="U159" s="63">
        <f t="shared" si="79"/>
        <v>66000</v>
      </c>
      <c r="V159" s="64"/>
      <c r="W159" s="64"/>
      <c r="X159" s="52"/>
      <c r="Y159" s="48">
        <f t="shared" si="54"/>
        <v>0</v>
      </c>
      <c r="Z159" s="69"/>
      <c r="AA159" s="50"/>
      <c r="AB159" s="50"/>
      <c r="AC159" s="52">
        <v>69000</v>
      </c>
      <c r="AD159" s="52">
        <f>S159*1.15-AC159</f>
        <v>0</v>
      </c>
      <c r="AE159" s="53">
        <f>S159*1.15+X159-AB159-AC159</f>
        <v>0</v>
      </c>
      <c r="AF159" s="52" t="b">
        <v>0</v>
      </c>
      <c r="AG159" s="52"/>
      <c r="AH159" s="52"/>
      <c r="AI159" s="52"/>
      <c r="AJ159" s="52"/>
      <c r="AK159" s="52"/>
      <c r="AL159" s="52"/>
      <c r="AM159" s="52" t="b">
        <v>0</v>
      </c>
      <c r="AN159" s="52"/>
      <c r="AO159" s="52"/>
      <c r="AP159" s="52"/>
      <c r="AQ159" s="52"/>
      <c r="AR159" s="52"/>
      <c r="AS159" s="52" t="b">
        <v>0</v>
      </c>
      <c r="AT159" s="52"/>
      <c r="AU159" s="52"/>
      <c r="AV159" s="52"/>
      <c r="AW159" s="52"/>
      <c r="AX159" s="52" t="str">
        <f t="shared" si="55"/>
        <v>ملتزم</v>
      </c>
      <c r="AY159" s="54" t="s">
        <v>77</v>
      </c>
      <c r="AZ159" s="43" t="s">
        <v>107</v>
      </c>
      <c r="BA159" s="55"/>
      <c r="BB159" s="55"/>
      <c r="BC159" s="55"/>
      <c r="BD159" s="54"/>
      <c r="BE159" s="68">
        <v>36340</v>
      </c>
      <c r="BF159" s="54"/>
      <c r="BG159" s="54"/>
      <c r="BH159" s="54"/>
      <c r="BI159" s="54" t="s">
        <v>112</v>
      </c>
      <c r="BJ159" s="54">
        <f>(U159+V159+AE159)-BD159-BE159</f>
        <v>29660</v>
      </c>
      <c r="BK159" s="54" t="s">
        <v>113</v>
      </c>
    </row>
    <row r="160" spans="1:63" ht="34.5" hidden="1" customHeight="1" x14ac:dyDescent="0.25">
      <c r="A160" s="35">
        <f t="shared" si="64"/>
        <v>63</v>
      </c>
      <c r="B160" s="75" t="s">
        <v>333</v>
      </c>
      <c r="C160" s="75"/>
      <c r="D160" s="37" t="s">
        <v>106</v>
      </c>
      <c r="E160" s="104" t="b">
        <v>0</v>
      </c>
      <c r="F160" s="104"/>
      <c r="G160" s="65">
        <v>46022</v>
      </c>
      <c r="H160" s="76">
        <v>1</v>
      </c>
      <c r="I160" s="35" t="s">
        <v>339</v>
      </c>
      <c r="J160" s="95" t="s">
        <v>334</v>
      </c>
      <c r="K160" s="81">
        <v>7012526484</v>
      </c>
      <c r="L160" s="81">
        <v>500456311</v>
      </c>
      <c r="M160" s="81">
        <v>1086690284</v>
      </c>
      <c r="N160" s="35" t="s">
        <v>73</v>
      </c>
      <c r="O160" s="42" t="s">
        <v>74</v>
      </c>
      <c r="P160" s="35">
        <v>4</v>
      </c>
      <c r="Q160" s="35">
        <v>3</v>
      </c>
      <c r="R160" s="35">
        <f t="shared" si="80"/>
        <v>12</v>
      </c>
      <c r="S160" s="80">
        <v>5000</v>
      </c>
      <c r="T160" s="44">
        <f t="shared" si="78"/>
        <v>500</v>
      </c>
      <c r="U160" s="63">
        <f t="shared" si="79"/>
        <v>5500</v>
      </c>
      <c r="V160" s="64"/>
      <c r="W160" s="64"/>
      <c r="X160" s="52">
        <v>2586</v>
      </c>
      <c r="Y160" s="48">
        <f t="shared" si="54"/>
        <v>2248.695652173913</v>
      </c>
      <c r="Z160" s="69">
        <v>0</v>
      </c>
      <c r="AA160" s="50">
        <f t="shared" ref="AA160:AA175" si="81">Z160/1.15</f>
        <v>0</v>
      </c>
      <c r="AB160" s="50"/>
      <c r="AC160" s="52">
        <v>8336</v>
      </c>
      <c r="AD160" s="52"/>
      <c r="AE160" s="53">
        <f>S160*1.15+X160-AB160-AC160</f>
        <v>0</v>
      </c>
      <c r="AF160" s="52" t="b">
        <v>0</v>
      </c>
      <c r="AG160" s="52"/>
      <c r="AH160" s="52"/>
      <c r="AI160" s="52"/>
      <c r="AJ160" s="52"/>
      <c r="AK160" s="52"/>
      <c r="AL160" s="52"/>
      <c r="AM160" s="52" t="b">
        <v>0</v>
      </c>
      <c r="AN160" s="52"/>
      <c r="AO160" s="52"/>
      <c r="AP160" s="52"/>
      <c r="AQ160" s="52"/>
      <c r="AR160" s="52"/>
      <c r="AS160" s="52" t="b">
        <v>0</v>
      </c>
      <c r="AT160" s="52"/>
      <c r="AU160" s="52"/>
      <c r="AV160" s="52"/>
      <c r="AW160" s="52"/>
      <c r="AX160" s="52" t="str">
        <f t="shared" si="55"/>
        <v>ملتزم</v>
      </c>
      <c r="AY160" s="54" t="s">
        <v>69</v>
      </c>
      <c r="AZ160" s="43" t="s">
        <v>107</v>
      </c>
      <c r="BA160" s="55"/>
      <c r="BB160" s="55"/>
      <c r="BC160" s="55"/>
      <c r="BD160" s="54"/>
      <c r="BE160" s="68">
        <v>0</v>
      </c>
      <c r="BF160" s="54"/>
      <c r="BG160" s="54"/>
      <c r="BH160" s="54"/>
      <c r="BI160" s="54" t="s">
        <v>76</v>
      </c>
      <c r="BJ160" s="54">
        <f>(U160+V160+AE160)-BD160-BE160</f>
        <v>5500</v>
      </c>
      <c r="BK160" s="54"/>
    </row>
    <row r="161" spans="1:63" ht="34.5" hidden="1" customHeight="1" x14ac:dyDescent="0.25">
      <c r="A161" s="35">
        <f t="shared" si="64"/>
        <v>64</v>
      </c>
      <c r="B161" s="35" t="s">
        <v>340</v>
      </c>
      <c r="C161" s="108"/>
      <c r="D161" s="37" t="s">
        <v>100</v>
      </c>
      <c r="E161" s="37" t="b">
        <v>0</v>
      </c>
      <c r="F161" s="37"/>
      <c r="G161" s="65"/>
      <c r="H161" s="35">
        <v>1</v>
      </c>
      <c r="I161" s="35">
        <v>12</v>
      </c>
      <c r="J161" s="95" t="s">
        <v>341</v>
      </c>
      <c r="K161" s="81">
        <v>7016677812</v>
      </c>
      <c r="L161" s="81">
        <v>565353777</v>
      </c>
      <c r="M161" s="81">
        <v>1010847091</v>
      </c>
      <c r="N161" s="35" t="s">
        <v>64</v>
      </c>
      <c r="O161" s="42" t="s">
        <v>97</v>
      </c>
      <c r="P161" s="35">
        <v>8.74</v>
      </c>
      <c r="Q161" s="35">
        <v>5.9</v>
      </c>
      <c r="R161" s="35">
        <f t="shared" si="80"/>
        <v>51.566000000000003</v>
      </c>
      <c r="S161" s="43">
        <v>40000</v>
      </c>
      <c r="T161" s="44">
        <f>S161*20/100</f>
        <v>8000</v>
      </c>
      <c r="U161" s="63">
        <f t="shared" si="79"/>
        <v>48000</v>
      </c>
      <c r="V161" s="140"/>
      <c r="W161" s="140"/>
      <c r="X161" s="52"/>
      <c r="Y161" s="48">
        <f t="shared" si="54"/>
        <v>0</v>
      </c>
      <c r="Z161" s="69">
        <v>0</v>
      </c>
      <c r="AA161" s="50">
        <f t="shared" si="81"/>
        <v>0</v>
      </c>
      <c r="AB161" s="50"/>
      <c r="AC161" s="52">
        <v>4666.67</v>
      </c>
      <c r="AD161" s="52">
        <f>S161*1.15-AC161</f>
        <v>41333.33</v>
      </c>
      <c r="AE161" s="146">
        <f>S161*1.15+X161-AB161-AC161</f>
        <v>41333.33</v>
      </c>
      <c r="AF161" s="52" t="b">
        <v>0</v>
      </c>
      <c r="AG161" s="52"/>
      <c r="AH161" s="52"/>
      <c r="AI161" s="52"/>
      <c r="AJ161" s="52"/>
      <c r="AK161" s="52"/>
      <c r="AL161" s="52"/>
      <c r="AM161" s="52" t="b">
        <v>0</v>
      </c>
      <c r="AN161" s="52"/>
      <c r="AO161" s="52"/>
      <c r="AP161" s="52"/>
      <c r="AQ161" s="52"/>
      <c r="AR161" s="52"/>
      <c r="AS161" s="52" t="b">
        <v>0</v>
      </c>
      <c r="AT161" s="52"/>
      <c r="AU161" s="52"/>
      <c r="AV161" s="52"/>
      <c r="AW161" s="52"/>
      <c r="AX161" s="52" t="str">
        <f t="shared" si="55"/>
        <v>غير ملتزم</v>
      </c>
      <c r="AY161" s="54" t="s">
        <v>77</v>
      </c>
      <c r="AZ161" s="43"/>
      <c r="BA161" s="135" t="s">
        <v>301</v>
      </c>
      <c r="BB161" s="135"/>
      <c r="BC161" s="135"/>
      <c r="BD161" s="54"/>
      <c r="BE161" s="68">
        <v>0</v>
      </c>
      <c r="BF161" s="54"/>
      <c r="BG161" s="54"/>
      <c r="BH161" s="54"/>
      <c r="BI161" s="54" t="s">
        <v>76</v>
      </c>
      <c r="BJ161" s="54">
        <f>(U161+V161+AE161)-BD161-BE161</f>
        <v>89333.33</v>
      </c>
      <c r="BK161" s="54"/>
    </row>
    <row r="162" spans="1:63" ht="34.5" hidden="1" customHeight="1" x14ac:dyDescent="0.25">
      <c r="A162" s="35">
        <f t="shared" si="64"/>
        <v>65</v>
      </c>
      <c r="B162" s="35" t="s">
        <v>342</v>
      </c>
      <c r="C162" s="105">
        <v>20253078311</v>
      </c>
      <c r="D162" s="37" t="s">
        <v>106</v>
      </c>
      <c r="E162" s="37" t="b">
        <v>0</v>
      </c>
      <c r="F162" s="37"/>
      <c r="G162" s="113">
        <v>46022</v>
      </c>
      <c r="H162" s="35">
        <v>1</v>
      </c>
      <c r="I162" s="35">
        <v>249</v>
      </c>
      <c r="J162" s="95" t="s">
        <v>343</v>
      </c>
      <c r="K162" s="81">
        <v>7025096814</v>
      </c>
      <c r="L162" s="81">
        <v>509805155</v>
      </c>
      <c r="M162" s="81">
        <v>1120475221</v>
      </c>
      <c r="N162" s="35" t="s">
        <v>73</v>
      </c>
      <c r="O162" s="35" t="s">
        <v>97</v>
      </c>
      <c r="P162" s="35">
        <v>4.2</v>
      </c>
      <c r="Q162" s="35">
        <v>4.2</v>
      </c>
      <c r="R162" s="35">
        <f t="shared" si="80"/>
        <v>17.64</v>
      </c>
      <c r="S162" s="44">
        <v>34000</v>
      </c>
      <c r="T162" s="44">
        <f t="shared" ref="T162:T166" si="82">S162*10/100</f>
        <v>3400</v>
      </c>
      <c r="U162" s="63">
        <f>S162+T162+200</f>
        <v>37600</v>
      </c>
      <c r="V162" s="44"/>
      <c r="W162" s="44"/>
      <c r="X162" s="54">
        <v>0</v>
      </c>
      <c r="Y162" s="89">
        <f t="shared" si="54"/>
        <v>0</v>
      </c>
      <c r="Z162" s="91">
        <v>0</v>
      </c>
      <c r="AA162" s="91">
        <f t="shared" si="81"/>
        <v>0</v>
      </c>
      <c r="AB162" s="91">
        <v>0</v>
      </c>
      <c r="AC162" s="54">
        <v>39100</v>
      </c>
      <c r="AD162" s="54">
        <f>S162*1.15-AC162</f>
        <v>0</v>
      </c>
      <c r="AE162" s="53">
        <f>S162*1.15+X162-AB162-AC162</f>
        <v>0</v>
      </c>
      <c r="AF162" s="52" t="b">
        <v>1</v>
      </c>
      <c r="AG162" s="117">
        <v>45667</v>
      </c>
      <c r="AH162" s="52">
        <v>21620</v>
      </c>
      <c r="AI162" s="54" t="s">
        <v>68</v>
      </c>
      <c r="AJ162" s="52" t="s">
        <v>136</v>
      </c>
      <c r="AK162" s="116" t="s">
        <v>344</v>
      </c>
      <c r="AL162" s="116"/>
      <c r="AM162" s="52" t="b">
        <v>0</v>
      </c>
      <c r="AN162" s="117">
        <v>45971</v>
      </c>
      <c r="AO162" s="52">
        <v>21620</v>
      </c>
      <c r="AP162" s="54"/>
      <c r="AQ162" s="54"/>
      <c r="AR162" s="52"/>
      <c r="AS162" s="52" t="b">
        <v>0</v>
      </c>
      <c r="AT162" s="118"/>
      <c r="AU162" s="54"/>
      <c r="AV162" s="54"/>
      <c r="AW162" s="54"/>
      <c r="AX162" s="54" t="str">
        <f t="shared" si="55"/>
        <v>ملتزم</v>
      </c>
      <c r="AY162" s="54" t="s">
        <v>77</v>
      </c>
      <c r="AZ162" s="43" t="s">
        <v>107</v>
      </c>
      <c r="BA162" s="55"/>
      <c r="BB162" s="55"/>
      <c r="BC162" s="55"/>
      <c r="BD162" s="54"/>
      <c r="BE162" s="68">
        <v>21620</v>
      </c>
      <c r="BF162" s="54"/>
      <c r="BG162" s="54"/>
      <c r="BH162" s="54"/>
      <c r="BI162" s="54" t="s">
        <v>76</v>
      </c>
      <c r="BJ162" s="54">
        <f>(U162+V162+AE162)-BD162-BE162</f>
        <v>15980</v>
      </c>
      <c r="BK162" s="54"/>
    </row>
    <row r="163" spans="1:63" ht="34.5" hidden="1" customHeight="1" x14ac:dyDescent="0.25">
      <c r="A163" s="35">
        <f t="shared" si="64"/>
        <v>66</v>
      </c>
      <c r="B163" s="57" t="s">
        <v>345</v>
      </c>
      <c r="C163" s="57"/>
      <c r="D163" s="37" t="s">
        <v>134</v>
      </c>
      <c r="E163" s="37" t="b">
        <v>0</v>
      </c>
      <c r="F163" s="37"/>
      <c r="G163" s="65"/>
      <c r="H163" s="42">
        <v>1</v>
      </c>
      <c r="I163" s="42">
        <v>43</v>
      </c>
      <c r="J163" s="61"/>
      <c r="K163" s="61"/>
      <c r="L163" s="61"/>
      <c r="M163" s="61"/>
      <c r="N163" s="35" t="s">
        <v>73</v>
      </c>
      <c r="O163" s="42" t="s">
        <v>74</v>
      </c>
      <c r="P163" s="35"/>
      <c r="Q163" s="35"/>
      <c r="R163" s="35">
        <v>38.4</v>
      </c>
      <c r="S163" s="62">
        <v>23000</v>
      </c>
      <c r="T163" s="44">
        <f t="shared" si="82"/>
        <v>2300</v>
      </c>
      <c r="U163" s="63">
        <f t="shared" ref="U163:U166" si="83">S163+T163</f>
        <v>25300</v>
      </c>
      <c r="V163" s="64"/>
      <c r="W163" s="64"/>
      <c r="X163" s="51"/>
      <c r="Y163" s="48">
        <f t="shared" si="54"/>
        <v>0</v>
      </c>
      <c r="Z163" s="49">
        <v>0</v>
      </c>
      <c r="AA163" s="50">
        <f t="shared" si="81"/>
        <v>0</v>
      </c>
      <c r="AB163" s="50"/>
      <c r="AC163" s="51">
        <v>0</v>
      </c>
      <c r="AD163" s="52">
        <v>26450</v>
      </c>
      <c r="AE163" s="53">
        <f>S163*1.15+X163-AB163-AC163</f>
        <v>26449.999999999996</v>
      </c>
      <c r="AF163" s="52" t="b">
        <v>0</v>
      </c>
      <c r="AG163" s="52"/>
      <c r="AH163" s="52"/>
      <c r="AI163" s="52"/>
      <c r="AJ163" s="52"/>
      <c r="AK163" s="52"/>
      <c r="AL163" s="52"/>
      <c r="AM163" s="52" t="b">
        <v>0</v>
      </c>
      <c r="AN163" s="52"/>
      <c r="AO163" s="52"/>
      <c r="AP163" s="52"/>
      <c r="AQ163" s="52"/>
      <c r="AR163" s="52"/>
      <c r="AS163" s="52" t="b">
        <v>0</v>
      </c>
      <c r="AT163" s="52"/>
      <c r="AU163" s="52"/>
      <c r="AV163" s="52"/>
      <c r="AW163" s="52"/>
      <c r="AX163" s="52" t="str">
        <f t="shared" si="55"/>
        <v>غير ملتزم</v>
      </c>
      <c r="AY163" s="54" t="s">
        <v>69</v>
      </c>
      <c r="AZ163" s="43" t="s">
        <v>78</v>
      </c>
      <c r="BA163" s="70" t="s">
        <v>346</v>
      </c>
      <c r="BB163" s="70"/>
      <c r="BC163" s="70"/>
      <c r="BD163" s="54"/>
      <c r="BE163" s="68">
        <v>0</v>
      </c>
      <c r="BF163" s="54"/>
      <c r="BG163" s="54"/>
      <c r="BH163" s="54"/>
      <c r="BI163" s="52" t="s">
        <v>76</v>
      </c>
      <c r="BJ163" s="54">
        <f>(U163+V163+AE163)-BD163-BE163</f>
        <v>51750</v>
      </c>
      <c r="BK163" s="54"/>
    </row>
    <row r="164" spans="1:63" ht="34.5" hidden="1" customHeight="1" x14ac:dyDescent="0.25">
      <c r="A164" s="35">
        <f t="shared" si="64"/>
        <v>67</v>
      </c>
      <c r="B164" s="35" t="s">
        <v>347</v>
      </c>
      <c r="C164" s="35">
        <v>20944008599</v>
      </c>
      <c r="D164" s="37" t="s">
        <v>100</v>
      </c>
      <c r="E164" s="37" t="b">
        <v>0</v>
      </c>
      <c r="F164" s="37"/>
      <c r="G164" s="65">
        <v>45657</v>
      </c>
      <c r="H164" s="35">
        <v>1</v>
      </c>
      <c r="I164" s="35" t="s">
        <v>348</v>
      </c>
      <c r="J164" s="95" t="s">
        <v>282</v>
      </c>
      <c r="K164" s="81">
        <v>7006650837</v>
      </c>
      <c r="L164" s="81">
        <v>506351663</v>
      </c>
      <c r="M164" s="81">
        <v>1026810190</v>
      </c>
      <c r="N164" s="35" t="s">
        <v>64</v>
      </c>
      <c r="O164" s="42" t="s">
        <v>214</v>
      </c>
      <c r="P164" s="35">
        <v>5</v>
      </c>
      <c r="Q164" s="35">
        <v>5</v>
      </c>
      <c r="R164" s="35">
        <f t="shared" ref="R164:R167" si="84">P164*Q164</f>
        <v>25</v>
      </c>
      <c r="S164" s="43">
        <v>10000</v>
      </c>
      <c r="T164" s="44">
        <f t="shared" si="82"/>
        <v>1000</v>
      </c>
      <c r="U164" s="63">
        <f t="shared" si="83"/>
        <v>11000</v>
      </c>
      <c r="V164" s="106"/>
      <c r="W164" s="106"/>
      <c r="X164" s="52"/>
      <c r="Y164" s="48">
        <f t="shared" si="54"/>
        <v>0</v>
      </c>
      <c r="Z164" s="69">
        <v>0</v>
      </c>
      <c r="AA164" s="50">
        <f t="shared" si="81"/>
        <v>0</v>
      </c>
      <c r="AB164" s="50"/>
      <c r="AC164" s="52">
        <v>11500</v>
      </c>
      <c r="AD164" s="52">
        <f>S164*1.15-AC164</f>
        <v>0</v>
      </c>
      <c r="AE164" s="53">
        <f>S164*1.15+X164-AB164-AC164</f>
        <v>0</v>
      </c>
      <c r="AF164" s="52" t="b">
        <v>0</v>
      </c>
      <c r="AG164" s="52"/>
      <c r="AH164" s="52"/>
      <c r="AI164" s="52"/>
      <c r="AJ164" s="52"/>
      <c r="AK164" s="52"/>
      <c r="AL164" s="52"/>
      <c r="AM164" s="52" t="b">
        <v>0</v>
      </c>
      <c r="AN164" s="52"/>
      <c r="AO164" s="52"/>
      <c r="AP164" s="52"/>
      <c r="AQ164" s="52"/>
      <c r="AR164" s="52"/>
      <c r="AS164" s="52" t="b">
        <v>0</v>
      </c>
      <c r="AT164" s="52"/>
      <c r="AU164" s="52"/>
      <c r="AV164" s="52"/>
      <c r="AW164" s="52"/>
      <c r="AX164" s="52" t="str">
        <f t="shared" si="55"/>
        <v>ملتزم</v>
      </c>
      <c r="AY164" s="54" t="s">
        <v>77</v>
      </c>
      <c r="AZ164" s="43" t="s">
        <v>70</v>
      </c>
      <c r="BA164" s="55"/>
      <c r="BB164" s="55"/>
      <c r="BC164" s="55"/>
      <c r="BD164" s="54"/>
      <c r="BE164" s="54"/>
      <c r="BF164" s="54"/>
      <c r="BG164" s="54"/>
      <c r="BH164" s="54"/>
      <c r="BI164" s="54" t="s">
        <v>76</v>
      </c>
      <c r="BJ164" s="54">
        <f>(U164+V164+AE164)-BD164-BE164</f>
        <v>11000</v>
      </c>
      <c r="BK164" s="54"/>
    </row>
    <row r="165" spans="1:63" ht="34.5" hidden="1" customHeight="1" x14ac:dyDescent="0.25">
      <c r="A165" s="35">
        <f t="shared" si="64"/>
        <v>68</v>
      </c>
      <c r="B165" s="35" t="s">
        <v>349</v>
      </c>
      <c r="C165" s="105">
        <v>20919739217</v>
      </c>
      <c r="D165" s="37" t="s">
        <v>106</v>
      </c>
      <c r="E165" s="37" t="b">
        <v>0</v>
      </c>
      <c r="F165" s="37"/>
      <c r="G165" s="65">
        <v>46022</v>
      </c>
      <c r="H165" s="35">
        <v>2</v>
      </c>
      <c r="I165" s="35" t="s">
        <v>350</v>
      </c>
      <c r="J165" s="95" t="s">
        <v>282</v>
      </c>
      <c r="K165" s="81">
        <v>7006791086</v>
      </c>
      <c r="L165" s="81">
        <v>506351663</v>
      </c>
      <c r="M165" s="81">
        <v>1026810190</v>
      </c>
      <c r="N165" s="35" t="s">
        <v>73</v>
      </c>
      <c r="O165" s="35" t="s">
        <v>97</v>
      </c>
      <c r="P165" s="35">
        <v>10.6</v>
      </c>
      <c r="Q165" s="35">
        <v>4.6500000000000004</v>
      </c>
      <c r="R165" s="35">
        <f t="shared" si="84"/>
        <v>49.29</v>
      </c>
      <c r="S165" s="43">
        <v>60000</v>
      </c>
      <c r="T165" s="44">
        <f t="shared" si="82"/>
        <v>6000</v>
      </c>
      <c r="U165" s="63">
        <f t="shared" si="83"/>
        <v>66000</v>
      </c>
      <c r="V165" s="106"/>
      <c r="W165" s="106"/>
      <c r="X165" s="45">
        <v>31050</v>
      </c>
      <c r="Y165" s="48">
        <f t="shared" si="54"/>
        <v>27000.000000000004</v>
      </c>
      <c r="Z165" s="50">
        <v>0</v>
      </c>
      <c r="AA165" s="50">
        <f t="shared" si="81"/>
        <v>0</v>
      </c>
      <c r="AB165" s="50"/>
      <c r="AC165" s="52">
        <v>12650</v>
      </c>
      <c r="AD165" s="52">
        <f>S165*1.15-AC165</f>
        <v>56350</v>
      </c>
      <c r="AE165" s="53">
        <f>S165*1.15+X165-AB165-AC165</f>
        <v>87400</v>
      </c>
      <c r="AF165" s="52" t="b">
        <v>0</v>
      </c>
      <c r="AG165" s="52"/>
      <c r="AH165" s="52"/>
      <c r="AI165" s="52"/>
      <c r="AJ165" s="52"/>
      <c r="AK165" s="52"/>
      <c r="AL165" s="52"/>
      <c r="AM165" s="52" t="b">
        <v>0</v>
      </c>
      <c r="AN165" s="52"/>
      <c r="AO165" s="52"/>
      <c r="AP165" s="52"/>
      <c r="AQ165" s="52"/>
      <c r="AR165" s="52"/>
      <c r="AS165" s="52" t="b">
        <v>0</v>
      </c>
      <c r="AT165" s="52"/>
      <c r="AU165" s="52"/>
      <c r="AV165" s="52"/>
      <c r="AW165" s="52"/>
      <c r="AX165" s="52" t="str">
        <f t="shared" si="55"/>
        <v>غير ملتزم</v>
      </c>
      <c r="AY165" s="54" t="s">
        <v>77</v>
      </c>
      <c r="AZ165" s="43" t="s">
        <v>107</v>
      </c>
      <c r="BA165" s="55"/>
      <c r="BB165" s="55"/>
      <c r="BC165" s="55"/>
      <c r="BD165" s="54"/>
      <c r="BE165" s="68">
        <v>0</v>
      </c>
      <c r="BF165" s="54"/>
      <c r="BG165" s="54"/>
      <c r="BH165" s="54"/>
      <c r="BI165" s="54" t="s">
        <v>325</v>
      </c>
      <c r="BJ165" s="54">
        <f>(U165+V165+AE165)-BD165-BE165</f>
        <v>153400</v>
      </c>
      <c r="BK165" s="54"/>
    </row>
    <row r="166" spans="1:63" ht="34.5" hidden="1" customHeight="1" x14ac:dyDescent="0.25">
      <c r="A166" s="35">
        <f t="shared" si="64"/>
        <v>69</v>
      </c>
      <c r="B166" s="57" t="s">
        <v>349</v>
      </c>
      <c r="C166" s="57"/>
      <c r="D166" s="37" t="s">
        <v>106</v>
      </c>
      <c r="E166" s="37" t="b">
        <v>0</v>
      </c>
      <c r="F166" s="37"/>
      <c r="G166" s="65">
        <v>46022</v>
      </c>
      <c r="H166" s="42">
        <v>2</v>
      </c>
      <c r="I166" s="42" t="s">
        <v>351</v>
      </c>
      <c r="J166" s="59" t="s">
        <v>282</v>
      </c>
      <c r="K166" s="61">
        <v>7012890815</v>
      </c>
      <c r="L166" s="61">
        <v>505616748</v>
      </c>
      <c r="M166" s="61">
        <v>1026810190</v>
      </c>
      <c r="N166" s="35" t="s">
        <v>73</v>
      </c>
      <c r="O166" s="42" t="s">
        <v>74</v>
      </c>
      <c r="P166" s="35">
        <v>12</v>
      </c>
      <c r="Q166" s="35">
        <v>8.9</v>
      </c>
      <c r="R166" s="35">
        <f t="shared" si="84"/>
        <v>106.80000000000001</v>
      </c>
      <c r="S166" s="62">
        <v>58000</v>
      </c>
      <c r="T166" s="44">
        <f t="shared" si="82"/>
        <v>5800</v>
      </c>
      <c r="U166" s="63">
        <f t="shared" si="83"/>
        <v>63800</v>
      </c>
      <c r="V166" s="64"/>
      <c r="W166" s="64"/>
      <c r="X166" s="52">
        <v>30014</v>
      </c>
      <c r="Y166" s="48">
        <f t="shared" si="54"/>
        <v>26099.130434782612</v>
      </c>
      <c r="Z166" s="69">
        <v>0</v>
      </c>
      <c r="AA166" s="50">
        <f t="shared" si="81"/>
        <v>0</v>
      </c>
      <c r="AB166" s="50"/>
      <c r="AC166" s="52">
        <v>33812</v>
      </c>
      <c r="AD166" s="52">
        <f>S166*1.15-AC166</f>
        <v>32888</v>
      </c>
      <c r="AE166" s="53">
        <f>S166*1.15+X166-AB166-AC166</f>
        <v>62902</v>
      </c>
      <c r="AF166" s="52" t="b">
        <v>0</v>
      </c>
      <c r="AG166" s="52"/>
      <c r="AH166" s="52"/>
      <c r="AI166" s="52"/>
      <c r="AJ166" s="52"/>
      <c r="AK166" s="52"/>
      <c r="AL166" s="52"/>
      <c r="AM166" s="52" t="b">
        <v>0</v>
      </c>
      <c r="AN166" s="52"/>
      <c r="AO166" s="52"/>
      <c r="AP166" s="52"/>
      <c r="AQ166" s="52"/>
      <c r="AR166" s="52"/>
      <c r="AS166" s="52" t="b">
        <v>0</v>
      </c>
      <c r="AT166" s="52"/>
      <c r="AU166" s="52"/>
      <c r="AV166" s="52"/>
      <c r="AW166" s="52"/>
      <c r="AX166" s="52" t="str">
        <f t="shared" si="55"/>
        <v>غير ملتزم</v>
      </c>
      <c r="AY166" s="54" t="s">
        <v>69</v>
      </c>
      <c r="AZ166" s="43" t="s">
        <v>107</v>
      </c>
      <c r="BA166" s="55"/>
      <c r="BB166" s="55"/>
      <c r="BC166" s="55"/>
      <c r="BD166" s="54"/>
      <c r="BE166" s="68">
        <v>0</v>
      </c>
      <c r="BF166" s="54"/>
      <c r="BG166" s="54"/>
      <c r="BH166" s="54"/>
      <c r="BI166" s="54" t="s">
        <v>76</v>
      </c>
      <c r="BJ166" s="54">
        <f>(U166+V166+AE166)-BD166-BE166</f>
        <v>126702</v>
      </c>
      <c r="BK166" s="54"/>
    </row>
    <row r="167" spans="1:63" ht="34.5" hidden="1" customHeight="1" x14ac:dyDescent="0.25">
      <c r="A167" s="35">
        <f t="shared" si="64"/>
        <v>70</v>
      </c>
      <c r="B167" s="35" t="s">
        <v>352</v>
      </c>
      <c r="C167" s="35">
        <v>20109400410</v>
      </c>
      <c r="D167" s="37" t="s">
        <v>100</v>
      </c>
      <c r="E167" s="37" t="b">
        <v>0</v>
      </c>
      <c r="F167" s="37"/>
      <c r="G167" s="65">
        <v>45657</v>
      </c>
      <c r="H167" s="35">
        <v>2</v>
      </c>
      <c r="I167" s="35" t="s">
        <v>353</v>
      </c>
      <c r="J167" s="95" t="s">
        <v>354</v>
      </c>
      <c r="K167" s="87">
        <v>7006631456</v>
      </c>
      <c r="L167" s="87">
        <v>555123806</v>
      </c>
      <c r="M167" s="81">
        <v>1049358870</v>
      </c>
      <c r="N167" s="35" t="s">
        <v>64</v>
      </c>
      <c r="O167" s="42" t="s">
        <v>65</v>
      </c>
      <c r="P167" s="35">
        <v>14.8</v>
      </c>
      <c r="Q167" s="35">
        <v>7.7</v>
      </c>
      <c r="R167" s="35">
        <f t="shared" si="84"/>
        <v>113.96000000000001</v>
      </c>
      <c r="S167" s="43">
        <v>38000</v>
      </c>
      <c r="T167" s="44"/>
      <c r="U167" s="45"/>
      <c r="V167" s="46">
        <v>59829</v>
      </c>
      <c r="W167" s="46"/>
      <c r="X167" s="54"/>
      <c r="Y167" s="89">
        <f t="shared" si="54"/>
        <v>0</v>
      </c>
      <c r="Z167" s="96">
        <v>0</v>
      </c>
      <c r="AA167" s="91">
        <f t="shared" si="81"/>
        <v>0</v>
      </c>
      <c r="AB167" s="91"/>
      <c r="AC167" s="54">
        <v>43700</v>
      </c>
      <c r="AD167" s="54">
        <v>0</v>
      </c>
      <c r="AE167" s="53">
        <f>S167*1.15+X167-AB167-AC167</f>
        <v>0</v>
      </c>
      <c r="AF167" s="54" t="b">
        <v>1</v>
      </c>
      <c r="AG167" s="54" t="s">
        <v>67</v>
      </c>
      <c r="AH167" s="54">
        <v>54750</v>
      </c>
      <c r="AI167" s="54" t="s">
        <v>68</v>
      </c>
      <c r="AJ167" s="52" t="s">
        <v>136</v>
      </c>
      <c r="AK167" s="128" t="s">
        <v>355</v>
      </c>
      <c r="AL167" s="128"/>
      <c r="AM167" s="54" t="b">
        <v>0</v>
      </c>
      <c r="AN167" s="117">
        <v>45971</v>
      </c>
      <c r="AO167" s="54">
        <v>54750</v>
      </c>
      <c r="AP167" s="54"/>
      <c r="AQ167" s="54"/>
      <c r="AR167" s="54"/>
      <c r="AS167" s="54" t="b">
        <v>0</v>
      </c>
      <c r="AT167" s="118"/>
      <c r="AU167" s="54"/>
      <c r="AV167" s="54"/>
      <c r="AW167" s="54"/>
      <c r="AX167" s="54" t="str">
        <f t="shared" si="55"/>
        <v>ملتزم</v>
      </c>
      <c r="AY167" s="54" t="s">
        <v>69</v>
      </c>
      <c r="AZ167" s="43"/>
      <c r="BA167" s="55" t="s">
        <v>75</v>
      </c>
      <c r="BB167" s="55"/>
      <c r="BC167" s="55"/>
      <c r="BD167" s="54"/>
      <c r="BE167" s="54"/>
      <c r="BF167" s="54"/>
      <c r="BG167" s="54"/>
      <c r="BH167" s="54"/>
      <c r="BI167" s="54"/>
      <c r="BJ167" s="54">
        <f>(U167+V167+AE167)-BD167-BE167</f>
        <v>59829</v>
      </c>
      <c r="BK167" s="54"/>
    </row>
    <row r="168" spans="1:63" ht="34.5" hidden="1" customHeight="1" x14ac:dyDescent="0.25">
      <c r="A168" s="35">
        <f t="shared" si="64"/>
        <v>71</v>
      </c>
      <c r="B168" s="57" t="s">
        <v>356</v>
      </c>
      <c r="C168" s="71"/>
      <c r="D168" s="37" t="s">
        <v>106</v>
      </c>
      <c r="E168" s="37" t="b">
        <v>0</v>
      </c>
      <c r="F168" s="37"/>
      <c r="G168" s="65">
        <v>46022</v>
      </c>
      <c r="H168" s="42">
        <v>1</v>
      </c>
      <c r="I168" s="42">
        <v>69</v>
      </c>
      <c r="J168" s="59" t="s">
        <v>357</v>
      </c>
      <c r="K168" s="61">
        <v>7008240223</v>
      </c>
      <c r="L168" s="61">
        <v>506649896</v>
      </c>
      <c r="M168" s="61">
        <v>1089007692</v>
      </c>
      <c r="N168" s="35" t="s">
        <v>73</v>
      </c>
      <c r="O168" s="42" t="s">
        <v>74</v>
      </c>
      <c r="P168" s="35"/>
      <c r="Q168" s="35"/>
      <c r="R168" s="35">
        <v>76.400000000000006</v>
      </c>
      <c r="S168" s="62">
        <v>28000</v>
      </c>
      <c r="T168" s="44">
        <f t="shared" ref="T168:T169" si="85">S168*10/100</f>
        <v>2800</v>
      </c>
      <c r="U168" s="63">
        <f t="shared" ref="U168:U169" si="86">S168+T168</f>
        <v>30800</v>
      </c>
      <c r="V168" s="64"/>
      <c r="W168" s="64"/>
      <c r="X168" s="51"/>
      <c r="Y168" s="48">
        <f t="shared" si="54"/>
        <v>0</v>
      </c>
      <c r="Z168" s="49">
        <v>0</v>
      </c>
      <c r="AA168" s="50">
        <f t="shared" si="81"/>
        <v>0</v>
      </c>
      <c r="AB168" s="50"/>
      <c r="AC168" s="51">
        <v>32200</v>
      </c>
      <c r="AD168" s="52">
        <f>S168*1.15-AC168</f>
        <v>0</v>
      </c>
      <c r="AE168" s="53">
        <f>S168*1.15+X168-AB168-AC168</f>
        <v>0</v>
      </c>
      <c r="AF168" s="52" t="b">
        <v>0</v>
      </c>
      <c r="AG168" s="52"/>
      <c r="AH168" s="52"/>
      <c r="AI168" s="52"/>
      <c r="AJ168" s="52"/>
      <c r="AK168" s="52"/>
      <c r="AL168" s="52"/>
      <c r="AM168" s="52" t="b">
        <v>0</v>
      </c>
      <c r="AN168" s="52"/>
      <c r="AO168" s="52"/>
      <c r="AP168" s="52"/>
      <c r="AQ168" s="52"/>
      <c r="AR168" s="52"/>
      <c r="AS168" s="52" t="b">
        <v>0</v>
      </c>
      <c r="AT168" s="52"/>
      <c r="AU168" s="52"/>
      <c r="AV168" s="52"/>
      <c r="AW168" s="52"/>
      <c r="AX168" s="52" t="str">
        <f t="shared" si="55"/>
        <v>ملتزم</v>
      </c>
      <c r="AY168" s="54" t="s">
        <v>192</v>
      </c>
      <c r="AZ168" s="43" t="s">
        <v>107</v>
      </c>
      <c r="BA168" s="70"/>
      <c r="BB168" s="70"/>
      <c r="BC168" s="70"/>
      <c r="BD168" s="54"/>
      <c r="BE168" s="68">
        <v>8913</v>
      </c>
      <c r="BF168" s="54"/>
      <c r="BG168" s="54"/>
      <c r="BH168" s="54"/>
      <c r="BI168" s="54" t="s">
        <v>72</v>
      </c>
      <c r="BJ168" s="54">
        <f>(U168+V168+AE168)-BD168-BE168</f>
        <v>21887</v>
      </c>
      <c r="BK168" s="54"/>
    </row>
    <row r="169" spans="1:63" ht="34.5" hidden="1" customHeight="1" x14ac:dyDescent="0.25">
      <c r="A169" s="35">
        <f t="shared" si="64"/>
        <v>72</v>
      </c>
      <c r="B169" s="57" t="s">
        <v>358</v>
      </c>
      <c r="C169" s="72">
        <v>20830124749</v>
      </c>
      <c r="D169" s="37" t="s">
        <v>106</v>
      </c>
      <c r="E169" s="37" t="b">
        <v>0</v>
      </c>
      <c r="F169" s="37"/>
      <c r="G169" s="65">
        <v>46022</v>
      </c>
      <c r="H169" s="42">
        <v>1</v>
      </c>
      <c r="I169" s="42">
        <v>72</v>
      </c>
      <c r="J169" s="59" t="s">
        <v>357</v>
      </c>
      <c r="K169" s="61">
        <v>7008240223</v>
      </c>
      <c r="L169" s="61">
        <v>506649896</v>
      </c>
      <c r="M169" s="61">
        <v>1089007692</v>
      </c>
      <c r="N169" s="35" t="s">
        <v>73</v>
      </c>
      <c r="O169" s="42" t="s">
        <v>74</v>
      </c>
      <c r="P169" s="35">
        <v>10</v>
      </c>
      <c r="Q169" s="35">
        <v>8.4</v>
      </c>
      <c r="R169" s="35">
        <f t="shared" ref="R169:R171" si="87">P169*Q169</f>
        <v>84</v>
      </c>
      <c r="S169" s="62">
        <v>27000</v>
      </c>
      <c r="T169" s="44">
        <f t="shared" si="85"/>
        <v>2700</v>
      </c>
      <c r="U169" s="63">
        <f t="shared" si="86"/>
        <v>29700</v>
      </c>
      <c r="V169" s="64"/>
      <c r="W169" s="64"/>
      <c r="X169" s="52">
        <v>0</v>
      </c>
      <c r="Y169" s="48">
        <f t="shared" si="54"/>
        <v>0</v>
      </c>
      <c r="Z169" s="69">
        <v>0</v>
      </c>
      <c r="AA169" s="50">
        <f t="shared" si="81"/>
        <v>0</v>
      </c>
      <c r="AB169" s="50"/>
      <c r="AC169" s="52">
        <v>31050</v>
      </c>
      <c r="AD169" s="52">
        <f>S169*1.15-AC169</f>
        <v>0</v>
      </c>
      <c r="AE169" s="53">
        <f>S169*1.15+X169-AB169-AC169</f>
        <v>0</v>
      </c>
      <c r="AF169" s="52" t="b">
        <v>0</v>
      </c>
      <c r="AG169" s="52"/>
      <c r="AH169" s="52"/>
      <c r="AI169" s="52"/>
      <c r="AJ169" s="52"/>
      <c r="AK169" s="52"/>
      <c r="AL169" s="52"/>
      <c r="AM169" s="52" t="b">
        <v>0</v>
      </c>
      <c r="AN169" s="52"/>
      <c r="AO169" s="52"/>
      <c r="AP169" s="52"/>
      <c r="AQ169" s="52"/>
      <c r="AR169" s="52"/>
      <c r="AS169" s="52" t="b">
        <v>0</v>
      </c>
      <c r="AT169" s="52"/>
      <c r="AU169" s="52"/>
      <c r="AV169" s="52"/>
      <c r="AW169" s="52"/>
      <c r="AX169" s="52" t="str">
        <f t="shared" si="55"/>
        <v>ملتزم</v>
      </c>
      <c r="AY169" s="54" t="s">
        <v>77</v>
      </c>
      <c r="AZ169" s="43" t="s">
        <v>107</v>
      </c>
      <c r="BA169" s="55"/>
      <c r="BB169" s="55"/>
      <c r="BC169" s="55"/>
      <c r="BD169" s="54"/>
      <c r="BE169" s="68">
        <v>8596</v>
      </c>
      <c r="BF169" s="54"/>
      <c r="BG169" s="54"/>
      <c r="BH169" s="54"/>
      <c r="BI169" s="54" t="s">
        <v>72</v>
      </c>
      <c r="BJ169" s="54">
        <f>(U169+V169+AE169)-BD169-BE169</f>
        <v>21104</v>
      </c>
      <c r="BK169" s="54"/>
    </row>
    <row r="170" spans="1:63" ht="34.5" hidden="1" customHeight="1" x14ac:dyDescent="0.25">
      <c r="A170" s="35">
        <f t="shared" si="64"/>
        <v>73</v>
      </c>
      <c r="B170" s="35" t="s">
        <v>359</v>
      </c>
      <c r="C170" s="105">
        <v>20769705637</v>
      </c>
      <c r="D170" s="37" t="s">
        <v>106</v>
      </c>
      <c r="E170" s="37" t="b">
        <v>0</v>
      </c>
      <c r="F170" s="37"/>
      <c r="G170" s="113">
        <v>46022</v>
      </c>
      <c r="H170" s="35">
        <v>2</v>
      </c>
      <c r="I170" s="35" t="s">
        <v>360</v>
      </c>
      <c r="J170" s="95" t="s">
        <v>361</v>
      </c>
      <c r="K170" s="81">
        <v>7014525849</v>
      </c>
      <c r="L170" s="81">
        <v>560717442</v>
      </c>
      <c r="M170" s="81">
        <v>1096922131</v>
      </c>
      <c r="N170" s="35" t="s">
        <v>73</v>
      </c>
      <c r="O170" s="35" t="s">
        <v>97</v>
      </c>
      <c r="P170" s="35">
        <v>8.6999999999999993</v>
      </c>
      <c r="Q170" s="35">
        <v>3.55</v>
      </c>
      <c r="R170" s="35">
        <f t="shared" si="87"/>
        <v>30.884999999999994</v>
      </c>
      <c r="S170" s="44">
        <v>60000</v>
      </c>
      <c r="T170" s="44">
        <f>S170*20/100</f>
        <v>12000</v>
      </c>
      <c r="U170" s="63">
        <f>S170+T170+200</f>
        <v>72200</v>
      </c>
      <c r="V170" s="44"/>
      <c r="W170" s="44"/>
      <c r="X170" s="54">
        <v>0</v>
      </c>
      <c r="Y170" s="89">
        <f t="shared" si="54"/>
        <v>0</v>
      </c>
      <c r="Z170" s="91">
        <v>0</v>
      </c>
      <c r="AA170" s="91">
        <f t="shared" si="81"/>
        <v>0</v>
      </c>
      <c r="AB170" s="91"/>
      <c r="AC170" s="54">
        <v>69000</v>
      </c>
      <c r="AD170" s="54">
        <f>S170*1.15-AC170</f>
        <v>0</v>
      </c>
      <c r="AE170" s="53">
        <f>S170*1.15+X170-AB170-AC170</f>
        <v>0</v>
      </c>
      <c r="AF170" s="54" t="b">
        <v>1</v>
      </c>
      <c r="AG170" s="134">
        <v>45667</v>
      </c>
      <c r="AH170" s="54">
        <v>42859</v>
      </c>
      <c r="AI170" s="54" t="s">
        <v>68</v>
      </c>
      <c r="AJ170" s="52" t="s">
        <v>136</v>
      </c>
      <c r="AK170" s="128" t="s">
        <v>362</v>
      </c>
      <c r="AL170" s="128"/>
      <c r="AM170" s="54" t="b">
        <v>0</v>
      </c>
      <c r="AN170" s="117">
        <v>45971</v>
      </c>
      <c r="AO170" s="54">
        <v>42859</v>
      </c>
      <c r="AP170" s="54"/>
      <c r="AQ170" s="54"/>
      <c r="AR170" s="54"/>
      <c r="AS170" s="54" t="b">
        <v>0</v>
      </c>
      <c r="AT170" s="118"/>
      <c r="AU170" s="54"/>
      <c r="AV170" s="54"/>
      <c r="AW170" s="54"/>
      <c r="AX170" s="54" t="str">
        <f t="shared" si="55"/>
        <v>ملتزم</v>
      </c>
      <c r="AY170" s="54" t="s">
        <v>77</v>
      </c>
      <c r="AZ170" s="43" t="s">
        <v>107</v>
      </c>
      <c r="BA170" s="55"/>
      <c r="BB170" s="55"/>
      <c r="BC170" s="55"/>
      <c r="BD170" s="54"/>
      <c r="BE170" s="68">
        <v>26600</v>
      </c>
      <c r="BF170" s="54"/>
      <c r="BG170" s="54"/>
      <c r="BH170" s="54"/>
      <c r="BI170" s="54" t="s">
        <v>112</v>
      </c>
      <c r="BJ170" s="54">
        <f>(U170+V170+AE170)-BD170-BE170</f>
        <v>45600</v>
      </c>
      <c r="BK170" s="54" t="s">
        <v>363</v>
      </c>
    </row>
    <row r="171" spans="1:63" ht="34.5" hidden="1" customHeight="1" x14ac:dyDescent="0.25">
      <c r="A171" s="35">
        <f t="shared" si="64"/>
        <v>74</v>
      </c>
      <c r="B171" s="35" t="s">
        <v>359</v>
      </c>
      <c r="C171" s="105">
        <v>20582551363</v>
      </c>
      <c r="D171" s="37" t="s">
        <v>106</v>
      </c>
      <c r="E171" s="37" t="b">
        <v>0</v>
      </c>
      <c r="F171" s="37"/>
      <c r="G171" s="65">
        <v>46022</v>
      </c>
      <c r="H171" s="35">
        <v>2</v>
      </c>
      <c r="I171" s="35" t="s">
        <v>364</v>
      </c>
      <c r="J171" s="95" t="s">
        <v>361</v>
      </c>
      <c r="K171" s="81">
        <v>4030143707</v>
      </c>
      <c r="L171" s="81">
        <v>560717442</v>
      </c>
      <c r="M171" s="81">
        <v>1096922131</v>
      </c>
      <c r="N171" s="35" t="s">
        <v>73</v>
      </c>
      <c r="O171" s="35" t="s">
        <v>97</v>
      </c>
      <c r="P171" s="35">
        <v>10.65</v>
      </c>
      <c r="Q171" s="35">
        <v>4.6500000000000004</v>
      </c>
      <c r="R171" s="35">
        <f t="shared" si="87"/>
        <v>49.522500000000008</v>
      </c>
      <c r="S171" s="43">
        <v>68000</v>
      </c>
      <c r="T171" s="44">
        <f t="shared" ref="T171:T175" si="88">S171*10/100</f>
        <v>6800</v>
      </c>
      <c r="U171" s="63">
        <f t="shared" ref="U171:U175" si="89">S171+T171</f>
        <v>74800</v>
      </c>
      <c r="V171" s="106"/>
      <c r="W171" s="106"/>
      <c r="X171" s="45"/>
      <c r="Y171" s="48">
        <f t="shared" si="54"/>
        <v>0</v>
      </c>
      <c r="Z171" s="50">
        <v>0</v>
      </c>
      <c r="AA171" s="50">
        <f t="shared" si="81"/>
        <v>0</v>
      </c>
      <c r="AB171" s="50">
        <v>0</v>
      </c>
      <c r="AC171" s="52">
        <v>36000</v>
      </c>
      <c r="AD171" s="52">
        <f>S171*1.15-AC171</f>
        <v>42200</v>
      </c>
      <c r="AE171" s="53">
        <f>S171*1.15+X171-AB171-AC171</f>
        <v>42200</v>
      </c>
      <c r="AF171" s="52" t="b">
        <v>0</v>
      </c>
      <c r="AG171" s="52"/>
      <c r="AH171" s="52"/>
      <c r="AI171" s="52"/>
      <c r="AJ171" s="52"/>
      <c r="AK171" s="52"/>
      <c r="AL171" s="52"/>
      <c r="AM171" s="52" t="b">
        <v>0</v>
      </c>
      <c r="AN171" s="52"/>
      <c r="AO171" s="52"/>
      <c r="AP171" s="52"/>
      <c r="AQ171" s="52"/>
      <c r="AR171" s="52"/>
      <c r="AS171" s="52" t="b">
        <v>0</v>
      </c>
      <c r="AT171" s="52"/>
      <c r="AU171" s="52"/>
      <c r="AV171" s="52"/>
      <c r="AW171" s="52"/>
      <c r="AX171" s="52" t="str">
        <f t="shared" si="55"/>
        <v>غير ملتزم</v>
      </c>
      <c r="AY171" s="54" t="s">
        <v>77</v>
      </c>
      <c r="AZ171" s="43" t="s">
        <v>107</v>
      </c>
      <c r="BA171" s="55"/>
      <c r="BB171" s="55"/>
      <c r="BC171" s="55"/>
      <c r="BD171" s="54"/>
      <c r="BE171" s="68">
        <v>0</v>
      </c>
      <c r="BF171" s="54"/>
      <c r="BG171" s="54"/>
      <c r="BH171" s="54"/>
      <c r="BI171" s="54" t="s">
        <v>76</v>
      </c>
      <c r="BJ171" s="54">
        <f>(U171+V171+AE171)-BD171-BE171</f>
        <v>117000</v>
      </c>
      <c r="BK171" s="54"/>
    </row>
    <row r="172" spans="1:63" ht="34.5" hidden="1" customHeight="1" x14ac:dyDescent="0.25">
      <c r="A172" s="35">
        <f t="shared" si="64"/>
        <v>75</v>
      </c>
      <c r="B172" s="57" t="s">
        <v>365</v>
      </c>
      <c r="C172" s="57">
        <v>20224283602</v>
      </c>
      <c r="D172" s="37" t="s">
        <v>106</v>
      </c>
      <c r="E172" s="37" t="b">
        <v>0</v>
      </c>
      <c r="F172" s="37"/>
      <c r="G172" s="65">
        <v>46022</v>
      </c>
      <c r="H172" s="42">
        <v>1</v>
      </c>
      <c r="I172" s="42">
        <v>1</v>
      </c>
      <c r="J172" s="59" t="s">
        <v>361</v>
      </c>
      <c r="K172" s="61">
        <v>4030143707</v>
      </c>
      <c r="L172" s="61">
        <v>560717442</v>
      </c>
      <c r="M172" s="61">
        <v>1096922131</v>
      </c>
      <c r="N172" s="35" t="s">
        <v>73</v>
      </c>
      <c r="O172" s="42" t="s">
        <v>74</v>
      </c>
      <c r="P172" s="35"/>
      <c r="Q172" s="35"/>
      <c r="R172" s="35">
        <v>77.8</v>
      </c>
      <c r="S172" s="62">
        <v>30000</v>
      </c>
      <c r="T172" s="44">
        <f t="shared" si="88"/>
        <v>3000</v>
      </c>
      <c r="U172" s="63">
        <f t="shared" si="89"/>
        <v>33000</v>
      </c>
      <c r="V172" s="64"/>
      <c r="W172" s="64"/>
      <c r="X172" s="51">
        <v>0</v>
      </c>
      <c r="Y172" s="48">
        <f t="shared" si="54"/>
        <v>0</v>
      </c>
      <c r="Z172" s="49">
        <v>0</v>
      </c>
      <c r="AA172" s="50">
        <f t="shared" si="81"/>
        <v>0</v>
      </c>
      <c r="AB172" s="50"/>
      <c r="AC172" s="51">
        <v>34500</v>
      </c>
      <c r="AD172" s="52">
        <f>S172*1.15-AC172</f>
        <v>0</v>
      </c>
      <c r="AE172" s="53">
        <f>S172*1.15+X172-AB172-AC172</f>
        <v>0</v>
      </c>
      <c r="AF172" s="52" t="b">
        <v>0</v>
      </c>
      <c r="AG172" s="52"/>
      <c r="AH172" s="52"/>
      <c r="AI172" s="52"/>
      <c r="AJ172" s="52"/>
      <c r="AK172" s="52"/>
      <c r="AL172" s="52"/>
      <c r="AM172" s="52" t="b">
        <v>0</v>
      </c>
      <c r="AN172" s="52"/>
      <c r="AO172" s="52"/>
      <c r="AP172" s="52"/>
      <c r="AQ172" s="52"/>
      <c r="AR172" s="52"/>
      <c r="AS172" s="52" t="b">
        <v>0</v>
      </c>
      <c r="AT172" s="52"/>
      <c r="AU172" s="52"/>
      <c r="AV172" s="52"/>
      <c r="AW172" s="52"/>
      <c r="AX172" s="52" t="str">
        <f t="shared" si="55"/>
        <v>ملتزم</v>
      </c>
      <c r="AY172" s="54" t="s">
        <v>77</v>
      </c>
      <c r="AZ172" s="43" t="s">
        <v>107</v>
      </c>
      <c r="BA172" s="55"/>
      <c r="BB172" s="55"/>
      <c r="BC172" s="55"/>
      <c r="BD172" s="54"/>
      <c r="BE172" s="68">
        <v>28635</v>
      </c>
      <c r="BF172" s="54"/>
      <c r="BG172" s="54"/>
      <c r="BH172" s="54"/>
      <c r="BI172" s="54" t="s">
        <v>72</v>
      </c>
      <c r="BJ172" s="54">
        <f>(U172+V172+AE172)-BD172-BE172</f>
        <v>4365</v>
      </c>
      <c r="BK172" s="54" t="s">
        <v>113</v>
      </c>
    </row>
    <row r="173" spans="1:63" ht="34.5" hidden="1" customHeight="1" x14ac:dyDescent="0.25">
      <c r="A173" s="35">
        <f t="shared" si="64"/>
        <v>76</v>
      </c>
      <c r="B173" s="57" t="s">
        <v>366</v>
      </c>
      <c r="C173" s="71"/>
      <c r="D173" s="37" t="s">
        <v>100</v>
      </c>
      <c r="E173" s="37" t="b">
        <v>0</v>
      </c>
      <c r="F173" s="37"/>
      <c r="G173" s="65">
        <v>45657</v>
      </c>
      <c r="H173" s="42">
        <v>1</v>
      </c>
      <c r="I173" s="57">
        <v>64</v>
      </c>
      <c r="J173" s="59" t="s">
        <v>171</v>
      </c>
      <c r="K173" s="61">
        <v>7016695657</v>
      </c>
      <c r="L173" s="61">
        <v>568576677</v>
      </c>
      <c r="M173" s="61">
        <v>1004081194</v>
      </c>
      <c r="N173" s="35" t="s">
        <v>73</v>
      </c>
      <c r="O173" s="42" t="s">
        <v>74</v>
      </c>
      <c r="P173" s="35">
        <v>12</v>
      </c>
      <c r="Q173" s="35">
        <v>8</v>
      </c>
      <c r="R173" s="35">
        <f t="shared" ref="R173:R181" si="90">P173*Q173</f>
        <v>96</v>
      </c>
      <c r="S173" s="62">
        <v>31000</v>
      </c>
      <c r="T173" s="44">
        <f t="shared" si="88"/>
        <v>3100</v>
      </c>
      <c r="U173" s="63">
        <f t="shared" si="89"/>
        <v>34100</v>
      </c>
      <c r="V173" s="64"/>
      <c r="W173" s="64"/>
      <c r="X173" s="52">
        <v>9150</v>
      </c>
      <c r="Y173" s="48">
        <f t="shared" si="54"/>
        <v>7956.521739130435</v>
      </c>
      <c r="Z173" s="69">
        <v>0</v>
      </c>
      <c r="AA173" s="50">
        <f t="shared" si="81"/>
        <v>0</v>
      </c>
      <c r="AB173" s="50">
        <v>9150</v>
      </c>
      <c r="AC173" s="52">
        <v>35650</v>
      </c>
      <c r="AD173" s="52">
        <f>S173*1.15-AC173</f>
        <v>0</v>
      </c>
      <c r="AE173" s="53">
        <f>S173*1.15+X173-AB173-AC173</f>
        <v>0</v>
      </c>
      <c r="AF173" s="52" t="b">
        <v>0</v>
      </c>
      <c r="AG173" s="52"/>
      <c r="AH173" s="52"/>
      <c r="AI173" s="52"/>
      <c r="AJ173" s="52"/>
      <c r="AK173" s="52"/>
      <c r="AL173" s="52"/>
      <c r="AM173" s="52" t="b">
        <v>0</v>
      </c>
      <c r="AN173" s="52"/>
      <c r="AO173" s="52"/>
      <c r="AP173" s="52"/>
      <c r="AQ173" s="52"/>
      <c r="AR173" s="52"/>
      <c r="AS173" s="52" t="b">
        <v>0</v>
      </c>
      <c r="AT173" s="52"/>
      <c r="AU173" s="52"/>
      <c r="AV173" s="52"/>
      <c r="AW173" s="52"/>
      <c r="AX173" s="52" t="str">
        <f t="shared" si="55"/>
        <v>ملتزم</v>
      </c>
      <c r="AY173" s="54" t="s">
        <v>77</v>
      </c>
      <c r="AZ173" s="43" t="s">
        <v>86</v>
      </c>
      <c r="BA173" s="55" t="s">
        <v>367</v>
      </c>
      <c r="BB173" s="55"/>
      <c r="BC173" s="55"/>
      <c r="BD173" s="54"/>
      <c r="BE173" s="68">
        <v>0</v>
      </c>
      <c r="BF173" s="54"/>
      <c r="BG173" s="54"/>
      <c r="BH173" s="54"/>
      <c r="BI173" s="54" t="s">
        <v>72</v>
      </c>
      <c r="BJ173" s="54">
        <f>(U173+V173+AE173)-BD173-BE173</f>
        <v>34100</v>
      </c>
      <c r="BK173" s="54"/>
    </row>
    <row r="174" spans="1:63" ht="34.5" hidden="1" customHeight="1" x14ac:dyDescent="0.25">
      <c r="A174" s="35">
        <f t="shared" si="64"/>
        <v>77</v>
      </c>
      <c r="B174" s="57" t="s">
        <v>366</v>
      </c>
      <c r="C174" s="71"/>
      <c r="D174" s="37" t="s">
        <v>100</v>
      </c>
      <c r="E174" s="37" t="b">
        <v>0</v>
      </c>
      <c r="F174" s="37"/>
      <c r="G174" s="65">
        <v>45657</v>
      </c>
      <c r="H174" s="42">
        <v>1</v>
      </c>
      <c r="I174" s="57">
        <v>65</v>
      </c>
      <c r="J174" s="59" t="s">
        <v>171</v>
      </c>
      <c r="K174" s="61">
        <v>7016695657</v>
      </c>
      <c r="L174" s="61">
        <v>568576677</v>
      </c>
      <c r="M174" s="61">
        <v>1004081194</v>
      </c>
      <c r="N174" s="35" t="s">
        <v>73</v>
      </c>
      <c r="O174" s="42" t="s">
        <v>74</v>
      </c>
      <c r="P174" s="35">
        <v>9.5</v>
      </c>
      <c r="Q174" s="35">
        <v>8.4</v>
      </c>
      <c r="R174" s="35">
        <f t="shared" si="90"/>
        <v>79.8</v>
      </c>
      <c r="S174" s="62">
        <v>32000</v>
      </c>
      <c r="T174" s="44">
        <f t="shared" si="88"/>
        <v>3200</v>
      </c>
      <c r="U174" s="63">
        <f t="shared" si="89"/>
        <v>35200</v>
      </c>
      <c r="V174" s="64"/>
      <c r="W174" s="64"/>
      <c r="X174" s="52">
        <v>13800</v>
      </c>
      <c r="Y174" s="48">
        <f t="shared" si="54"/>
        <v>12000.000000000002</v>
      </c>
      <c r="Z174" s="69">
        <v>0</v>
      </c>
      <c r="AA174" s="50">
        <f t="shared" si="81"/>
        <v>0</v>
      </c>
      <c r="AB174" s="50">
        <v>13800</v>
      </c>
      <c r="AC174" s="52">
        <v>36800</v>
      </c>
      <c r="AD174" s="52">
        <f>S174*1.15-AC174</f>
        <v>0</v>
      </c>
      <c r="AE174" s="53">
        <f>S174*1.15+X174-AB174-AC174</f>
        <v>0</v>
      </c>
      <c r="AF174" s="52" t="b">
        <v>0</v>
      </c>
      <c r="AG174" s="52"/>
      <c r="AH174" s="52"/>
      <c r="AI174" s="52"/>
      <c r="AJ174" s="52"/>
      <c r="AK174" s="52"/>
      <c r="AL174" s="52"/>
      <c r="AM174" s="52" t="b">
        <v>0</v>
      </c>
      <c r="AN174" s="52"/>
      <c r="AO174" s="52"/>
      <c r="AP174" s="52"/>
      <c r="AQ174" s="52"/>
      <c r="AR174" s="52"/>
      <c r="AS174" s="52" t="b">
        <v>0</v>
      </c>
      <c r="AT174" s="52"/>
      <c r="AU174" s="52"/>
      <c r="AV174" s="52"/>
      <c r="AW174" s="52"/>
      <c r="AX174" s="52" t="str">
        <f t="shared" si="55"/>
        <v>ملتزم</v>
      </c>
      <c r="AY174" s="54" t="s">
        <v>140</v>
      </c>
      <c r="AZ174" s="43" t="s">
        <v>86</v>
      </c>
      <c r="BA174" s="55" t="s">
        <v>367</v>
      </c>
      <c r="BB174" s="55"/>
      <c r="BC174" s="55"/>
      <c r="BD174" s="54"/>
      <c r="BE174" s="68">
        <v>0</v>
      </c>
      <c r="BF174" s="54"/>
      <c r="BG174" s="54"/>
      <c r="BH174" s="54"/>
      <c r="BI174" s="54" t="s">
        <v>72</v>
      </c>
      <c r="BJ174" s="54">
        <f>(U174+V174+AE174)-BD174-BE174</f>
        <v>35200</v>
      </c>
      <c r="BK174" s="54"/>
    </row>
    <row r="175" spans="1:63" ht="34.5" hidden="1" customHeight="1" x14ac:dyDescent="0.25">
      <c r="A175" s="35">
        <f t="shared" si="64"/>
        <v>78</v>
      </c>
      <c r="B175" s="57" t="s">
        <v>368</v>
      </c>
      <c r="C175" s="57">
        <v>20123897203</v>
      </c>
      <c r="D175" s="37" t="s">
        <v>106</v>
      </c>
      <c r="E175" s="37" t="b">
        <v>0</v>
      </c>
      <c r="F175" s="37"/>
      <c r="G175" s="65">
        <v>46022</v>
      </c>
      <c r="H175" s="42">
        <v>1</v>
      </c>
      <c r="I175" s="42">
        <v>5</v>
      </c>
      <c r="J175" s="147" t="s">
        <v>369</v>
      </c>
      <c r="K175" s="60">
        <v>7017031555</v>
      </c>
      <c r="L175" s="60">
        <v>540994884</v>
      </c>
      <c r="M175" s="61">
        <v>1089289472</v>
      </c>
      <c r="N175" s="35" t="s">
        <v>73</v>
      </c>
      <c r="O175" s="42" t="s">
        <v>74</v>
      </c>
      <c r="P175" s="35">
        <v>7.7</v>
      </c>
      <c r="Q175" s="35">
        <v>7</v>
      </c>
      <c r="R175" s="35">
        <f t="shared" si="90"/>
        <v>53.9</v>
      </c>
      <c r="S175" s="62">
        <v>30000</v>
      </c>
      <c r="T175" s="44">
        <f t="shared" si="88"/>
        <v>3000</v>
      </c>
      <c r="U175" s="63">
        <f t="shared" si="89"/>
        <v>33000</v>
      </c>
      <c r="V175" s="64"/>
      <c r="W175" s="64"/>
      <c r="X175" s="52">
        <v>0</v>
      </c>
      <c r="Y175" s="48">
        <f t="shared" si="54"/>
        <v>0</v>
      </c>
      <c r="Z175" s="69">
        <v>0</v>
      </c>
      <c r="AA175" s="50">
        <f t="shared" si="81"/>
        <v>0</v>
      </c>
      <c r="AB175" s="50"/>
      <c r="AC175" s="52">
        <v>34500</v>
      </c>
      <c r="AD175" s="52">
        <f>S175*1.15-AC175</f>
        <v>0</v>
      </c>
      <c r="AE175" s="53">
        <f>S175*1.15+X175-AB175-AC175</f>
        <v>0</v>
      </c>
      <c r="AF175" s="52" t="b">
        <v>0</v>
      </c>
      <c r="AG175" s="52"/>
      <c r="AH175" s="52"/>
      <c r="AI175" s="52"/>
      <c r="AJ175" s="52"/>
      <c r="AK175" s="52"/>
      <c r="AL175" s="52"/>
      <c r="AM175" s="52" t="b">
        <v>0</v>
      </c>
      <c r="AN175" s="52"/>
      <c r="AO175" s="52"/>
      <c r="AP175" s="52"/>
      <c r="AQ175" s="52"/>
      <c r="AR175" s="52"/>
      <c r="AS175" s="52" t="b">
        <v>0</v>
      </c>
      <c r="AT175" s="52"/>
      <c r="AU175" s="52"/>
      <c r="AV175" s="52"/>
      <c r="AW175" s="52"/>
      <c r="AX175" s="52" t="str">
        <f t="shared" si="55"/>
        <v>ملتزم</v>
      </c>
      <c r="AY175" s="52" t="s">
        <v>69</v>
      </c>
      <c r="AZ175" s="43" t="s">
        <v>107</v>
      </c>
      <c r="BA175" s="55"/>
      <c r="BB175" s="55"/>
      <c r="BC175" s="55"/>
      <c r="BD175" s="52"/>
      <c r="BE175" s="68">
        <v>19090</v>
      </c>
      <c r="BF175" s="52"/>
      <c r="BG175" s="52"/>
      <c r="BH175" s="52"/>
      <c r="BI175" s="52" t="s">
        <v>76</v>
      </c>
      <c r="BJ175" s="54">
        <f>(U175+V175+AE175)-BD175-BE175</f>
        <v>13910</v>
      </c>
      <c r="BK175" s="52" t="s">
        <v>113</v>
      </c>
    </row>
    <row r="176" spans="1:63" ht="34.5" hidden="1" customHeight="1" x14ac:dyDescent="0.25">
      <c r="A176" s="35">
        <v>1</v>
      </c>
      <c r="B176" s="35" t="s">
        <v>370</v>
      </c>
      <c r="C176" s="105">
        <v>20562749691</v>
      </c>
      <c r="D176" s="37" t="s">
        <v>106</v>
      </c>
      <c r="E176" s="37" t="b">
        <v>0</v>
      </c>
      <c r="F176" s="37"/>
      <c r="G176" s="113">
        <v>46022</v>
      </c>
      <c r="H176" s="35">
        <v>2</v>
      </c>
      <c r="I176" s="35" t="s">
        <v>371</v>
      </c>
      <c r="J176" s="95" t="s">
        <v>357</v>
      </c>
      <c r="K176" s="81">
        <v>4030448946</v>
      </c>
      <c r="L176" s="81">
        <v>506649896</v>
      </c>
      <c r="M176" s="81">
        <v>1089007692</v>
      </c>
      <c r="N176" s="35" t="s">
        <v>73</v>
      </c>
      <c r="O176" s="35" t="s">
        <v>97</v>
      </c>
      <c r="P176" s="35">
        <v>7.25</v>
      </c>
      <c r="Q176" s="35">
        <v>4.8</v>
      </c>
      <c r="R176" s="35">
        <f t="shared" si="90"/>
        <v>34.799999999999997</v>
      </c>
      <c r="S176" s="44">
        <v>60000</v>
      </c>
      <c r="T176" s="44">
        <f>S176*20/100</f>
        <v>12000</v>
      </c>
      <c r="U176" s="63">
        <f>S176+T176+200</f>
        <v>72200</v>
      </c>
      <c r="V176" s="148"/>
      <c r="W176" s="148"/>
      <c r="X176" s="149">
        <v>0</v>
      </c>
      <c r="Y176" s="89">
        <f t="shared" si="54"/>
        <v>0</v>
      </c>
      <c r="Z176" s="91">
        <v>0</v>
      </c>
      <c r="AA176" s="91">
        <v>0</v>
      </c>
      <c r="AB176" s="91">
        <v>0</v>
      </c>
      <c r="AC176" s="54">
        <v>69000</v>
      </c>
      <c r="AD176" s="54">
        <f>S176*1.15-AC176</f>
        <v>0</v>
      </c>
      <c r="AE176" s="53">
        <f>S176*1.15+X176-AB176-AC176</f>
        <v>0</v>
      </c>
      <c r="AF176" s="52" t="b">
        <v>0</v>
      </c>
      <c r="AG176" s="52"/>
      <c r="AH176" s="52"/>
      <c r="AI176" s="52"/>
      <c r="AJ176" s="52"/>
      <c r="AK176" s="52"/>
      <c r="AL176" s="52"/>
      <c r="AM176" s="52" t="b">
        <v>0</v>
      </c>
      <c r="AN176" s="52"/>
      <c r="AO176" s="52"/>
      <c r="AP176" s="52"/>
      <c r="AQ176" s="52"/>
      <c r="AR176" s="52"/>
      <c r="AS176" s="52" t="b">
        <v>0</v>
      </c>
      <c r="AT176" s="54"/>
      <c r="AU176" s="54"/>
      <c r="AV176" s="54"/>
      <c r="AW176" s="54"/>
      <c r="AX176" s="54" t="str">
        <f t="shared" si="55"/>
        <v>ملتزم</v>
      </c>
      <c r="AY176" s="54" t="s">
        <v>69</v>
      </c>
      <c r="AZ176" s="43" t="s">
        <v>107</v>
      </c>
      <c r="BA176" s="55"/>
      <c r="BB176" s="55"/>
      <c r="BC176" s="55"/>
      <c r="BD176" s="54"/>
      <c r="BE176" s="68">
        <v>41514</v>
      </c>
      <c r="BF176" s="54"/>
      <c r="BG176" s="54"/>
      <c r="BH176" s="54"/>
      <c r="BI176" s="54" t="s">
        <v>76</v>
      </c>
      <c r="BJ176" s="54">
        <f>(U176+V176+AE176)-BD176-BE176-BF176-BG176-BH176</f>
        <v>30686</v>
      </c>
      <c r="BK176" s="54" t="s">
        <v>113</v>
      </c>
    </row>
    <row r="177" spans="1:63" ht="34.5" hidden="1" customHeight="1" x14ac:dyDescent="0.25">
      <c r="A177" s="35">
        <f t="shared" ref="A177:A208" si="91">1+A176</f>
        <v>2</v>
      </c>
      <c r="B177" s="57" t="s">
        <v>372</v>
      </c>
      <c r="C177" s="57">
        <v>20701020907</v>
      </c>
      <c r="D177" s="37" t="s">
        <v>106</v>
      </c>
      <c r="E177" s="122" t="b">
        <v>0</v>
      </c>
      <c r="F177" s="122"/>
      <c r="G177" s="65">
        <v>46022</v>
      </c>
      <c r="H177" s="42">
        <v>1</v>
      </c>
      <c r="I177" s="42">
        <v>47</v>
      </c>
      <c r="J177" s="147" t="s">
        <v>373</v>
      </c>
      <c r="K177" s="61">
        <v>7038852955</v>
      </c>
      <c r="L177" s="61">
        <v>540068939</v>
      </c>
      <c r="M177" s="61">
        <v>1002153870</v>
      </c>
      <c r="N177" s="35" t="s">
        <v>73</v>
      </c>
      <c r="O177" s="42" t="s">
        <v>74</v>
      </c>
      <c r="P177" s="35"/>
      <c r="Q177" s="35"/>
      <c r="R177" s="35">
        <f t="shared" si="90"/>
        <v>0</v>
      </c>
      <c r="S177" s="62">
        <v>23000</v>
      </c>
      <c r="T177" s="44">
        <f t="shared" ref="T177:T178" si="92">S177*10/100</f>
        <v>2300</v>
      </c>
      <c r="U177" s="63">
        <f t="shared" ref="U177:U187" si="93">S177+T177</f>
        <v>25300</v>
      </c>
      <c r="V177" s="64"/>
      <c r="W177" s="64"/>
      <c r="X177" s="52">
        <v>0</v>
      </c>
      <c r="Y177" s="48">
        <f t="shared" si="54"/>
        <v>0</v>
      </c>
      <c r="Z177" s="69">
        <v>0</v>
      </c>
      <c r="AA177" s="50">
        <f t="shared" ref="AA177:AA192" si="94">Z177/1.15</f>
        <v>0</v>
      </c>
      <c r="AB177" s="50">
        <v>0</v>
      </c>
      <c r="AC177" s="52">
        <v>26450</v>
      </c>
      <c r="AD177" s="52">
        <f>S177*1.15-AC177</f>
        <v>0</v>
      </c>
      <c r="AE177" s="53">
        <f>S177*1.15+X177-AB177-AC177</f>
        <v>0</v>
      </c>
      <c r="AF177" s="52" t="b">
        <v>0</v>
      </c>
      <c r="AG177" s="52"/>
      <c r="AH177" s="52"/>
      <c r="AI177" s="52"/>
      <c r="AJ177" s="52"/>
      <c r="AK177" s="52"/>
      <c r="AL177" s="52"/>
      <c r="AM177" s="52" t="b">
        <v>0</v>
      </c>
      <c r="AN177" s="52"/>
      <c r="AO177" s="52"/>
      <c r="AP177" s="52"/>
      <c r="AQ177" s="52"/>
      <c r="AR177" s="52"/>
      <c r="AS177" s="52" t="b">
        <v>0</v>
      </c>
      <c r="AT177" s="52"/>
      <c r="AU177" s="52"/>
      <c r="AV177" s="52"/>
      <c r="AW177" s="52"/>
      <c r="AX177" s="52" t="str">
        <f t="shared" si="55"/>
        <v>ملتزم</v>
      </c>
      <c r="AY177" s="54" t="s">
        <v>77</v>
      </c>
      <c r="AZ177" s="43" t="s">
        <v>107</v>
      </c>
      <c r="BA177" s="55"/>
      <c r="BB177" s="55"/>
      <c r="BC177" s="55"/>
      <c r="BD177" s="54"/>
      <c r="BE177" s="68">
        <v>14662.5</v>
      </c>
      <c r="BF177" s="54"/>
      <c r="BG177" s="54"/>
      <c r="BH177" s="54"/>
      <c r="BI177" s="54" t="s">
        <v>76</v>
      </c>
      <c r="BJ177" s="54">
        <f>(U177+V177+AE177)-BD177-BE177</f>
        <v>10637.5</v>
      </c>
      <c r="BK177" s="54"/>
    </row>
    <row r="178" spans="1:63" ht="34.5" hidden="1" customHeight="1" x14ac:dyDescent="0.25">
      <c r="A178" s="35">
        <f t="shared" si="91"/>
        <v>3</v>
      </c>
      <c r="B178" s="35" t="s">
        <v>374</v>
      </c>
      <c r="C178" s="105">
        <v>20087623664</v>
      </c>
      <c r="D178" s="37" t="s">
        <v>106</v>
      </c>
      <c r="E178" s="37" t="b">
        <v>0</v>
      </c>
      <c r="F178" s="37"/>
      <c r="G178" s="65">
        <v>46022</v>
      </c>
      <c r="H178" s="35">
        <v>3</v>
      </c>
      <c r="I178" s="35" t="s">
        <v>375</v>
      </c>
      <c r="J178" s="84" t="s">
        <v>373</v>
      </c>
      <c r="K178" s="81">
        <v>7038852955</v>
      </c>
      <c r="L178" s="81">
        <v>540068939</v>
      </c>
      <c r="M178" s="81">
        <v>1002153870</v>
      </c>
      <c r="N178" s="35" t="s">
        <v>73</v>
      </c>
      <c r="O178" s="35" t="s">
        <v>97</v>
      </c>
      <c r="P178" s="35">
        <v>11</v>
      </c>
      <c r="Q178" s="35">
        <v>5.2</v>
      </c>
      <c r="R178" s="35">
        <f t="shared" si="90"/>
        <v>57.2</v>
      </c>
      <c r="S178" s="44">
        <v>90000</v>
      </c>
      <c r="T178" s="44">
        <f t="shared" si="92"/>
        <v>9000</v>
      </c>
      <c r="U178" s="63">
        <f t="shared" si="93"/>
        <v>99000</v>
      </c>
      <c r="V178" s="106"/>
      <c r="W178" s="106"/>
      <c r="X178" s="45">
        <v>0</v>
      </c>
      <c r="Y178" s="48">
        <f t="shared" si="54"/>
        <v>0</v>
      </c>
      <c r="Z178" s="50">
        <v>0</v>
      </c>
      <c r="AA178" s="50">
        <f t="shared" si="94"/>
        <v>0</v>
      </c>
      <c r="AB178" s="50"/>
      <c r="AC178" s="52">
        <v>103500</v>
      </c>
      <c r="AD178" s="52">
        <f>S178*1.15-AC178</f>
        <v>0</v>
      </c>
      <c r="AE178" s="53">
        <f>S178*1.15+X178-AB178-AC178</f>
        <v>0</v>
      </c>
      <c r="AF178" s="52" t="b">
        <v>1</v>
      </c>
      <c r="AG178" s="117">
        <v>45698</v>
      </c>
      <c r="AH178" s="52">
        <v>76053</v>
      </c>
      <c r="AI178" s="54" t="s">
        <v>68</v>
      </c>
      <c r="AJ178" s="52" t="s">
        <v>136</v>
      </c>
      <c r="AK178" s="116" t="s">
        <v>376</v>
      </c>
      <c r="AL178" s="116"/>
      <c r="AM178" s="52" t="b">
        <v>0</v>
      </c>
      <c r="AN178" s="126" t="s">
        <v>152</v>
      </c>
      <c r="AO178" s="52">
        <v>76053</v>
      </c>
      <c r="AP178" s="54"/>
      <c r="AQ178" s="54"/>
      <c r="AR178" s="52"/>
      <c r="AS178" s="52" t="b">
        <v>0</v>
      </c>
      <c r="AT178" s="54"/>
      <c r="AU178" s="52"/>
      <c r="AV178" s="52"/>
      <c r="AW178" s="52"/>
      <c r="AX178" s="52" t="str">
        <f t="shared" si="55"/>
        <v>ملتزم</v>
      </c>
      <c r="AY178" s="54" t="s">
        <v>77</v>
      </c>
      <c r="AZ178" s="43" t="s">
        <v>107</v>
      </c>
      <c r="BA178" s="55"/>
      <c r="BB178" s="55"/>
      <c r="BC178" s="55"/>
      <c r="BD178" s="54"/>
      <c r="BE178" s="68">
        <v>28520.33</v>
      </c>
      <c r="BF178" s="54"/>
      <c r="BG178" s="54"/>
      <c r="BH178" s="54"/>
      <c r="BI178" s="54" t="s">
        <v>76</v>
      </c>
      <c r="BJ178" s="54">
        <f>(U178+V178+AE178)-BD178-BE178</f>
        <v>70479.67</v>
      </c>
      <c r="BK178" s="54"/>
    </row>
    <row r="179" spans="1:63" ht="34.5" hidden="1" customHeight="1" x14ac:dyDescent="0.25">
      <c r="A179" s="35">
        <f t="shared" si="91"/>
        <v>4</v>
      </c>
      <c r="B179" s="35" t="s">
        <v>377</v>
      </c>
      <c r="C179" s="105">
        <v>20226393709</v>
      </c>
      <c r="D179" s="37" t="s">
        <v>106</v>
      </c>
      <c r="E179" s="37" t="b">
        <v>0</v>
      </c>
      <c r="F179" s="37"/>
      <c r="G179" s="65">
        <v>46022</v>
      </c>
      <c r="H179" s="35">
        <v>2</v>
      </c>
      <c r="I179" s="35" t="s">
        <v>378</v>
      </c>
      <c r="J179" s="95" t="s">
        <v>379</v>
      </c>
      <c r="K179" s="81">
        <v>7025121646</v>
      </c>
      <c r="L179" s="81">
        <v>599060599</v>
      </c>
      <c r="M179" s="81">
        <v>1098369091</v>
      </c>
      <c r="N179" s="35" t="s">
        <v>73</v>
      </c>
      <c r="O179" s="35" t="s">
        <v>97</v>
      </c>
      <c r="P179" s="35">
        <v>10.199999999999999</v>
      </c>
      <c r="Q179" s="35">
        <v>6.5</v>
      </c>
      <c r="R179" s="35">
        <f t="shared" si="90"/>
        <v>66.3</v>
      </c>
      <c r="S179" s="44">
        <v>44000</v>
      </c>
      <c r="T179" s="44">
        <f>S179*20/100</f>
        <v>8800</v>
      </c>
      <c r="U179" s="63">
        <f t="shared" si="93"/>
        <v>52800</v>
      </c>
      <c r="V179" s="106"/>
      <c r="W179" s="106"/>
      <c r="X179" s="52">
        <v>0</v>
      </c>
      <c r="Y179" s="48">
        <f t="shared" si="54"/>
        <v>0</v>
      </c>
      <c r="Z179" s="50">
        <v>0</v>
      </c>
      <c r="AA179" s="50">
        <f t="shared" si="94"/>
        <v>0</v>
      </c>
      <c r="AB179" s="50"/>
      <c r="AC179" s="52">
        <v>50600</v>
      </c>
      <c r="AD179" s="52">
        <f>S179*1.15-AC179</f>
        <v>0</v>
      </c>
      <c r="AE179" s="53">
        <f>S179*1.15+X179-AB179-AC179</f>
        <v>0</v>
      </c>
      <c r="AF179" s="52" t="b">
        <v>0</v>
      </c>
      <c r="AG179" s="52"/>
      <c r="AH179" s="52"/>
      <c r="AI179" s="52"/>
      <c r="AJ179" s="52"/>
      <c r="AK179" s="52"/>
      <c r="AL179" s="52"/>
      <c r="AM179" s="52" t="b">
        <v>0</v>
      </c>
      <c r="AN179" s="52"/>
      <c r="AO179" s="52"/>
      <c r="AP179" s="52"/>
      <c r="AQ179" s="52"/>
      <c r="AR179" s="52"/>
      <c r="AS179" s="52" t="b">
        <v>0</v>
      </c>
      <c r="AT179" s="52"/>
      <c r="AU179" s="52"/>
      <c r="AV179" s="52"/>
      <c r="AW179" s="52"/>
      <c r="AX179" s="52" t="str">
        <f t="shared" si="55"/>
        <v>ملتزم</v>
      </c>
      <c r="AY179" s="54" t="s">
        <v>69</v>
      </c>
      <c r="AZ179" s="43" t="s">
        <v>107</v>
      </c>
      <c r="BA179" s="55"/>
      <c r="BB179" s="55"/>
      <c r="BC179" s="55"/>
      <c r="BD179" s="54"/>
      <c r="BE179" s="68">
        <v>30475</v>
      </c>
      <c r="BF179" s="54"/>
      <c r="BG179" s="54"/>
      <c r="BH179" s="54"/>
      <c r="BI179" s="54" t="s">
        <v>112</v>
      </c>
      <c r="BJ179" s="54">
        <f>(U179+V179+AE179)-BD179-BE179</f>
        <v>22325</v>
      </c>
      <c r="BK179" s="54" t="s">
        <v>380</v>
      </c>
    </row>
    <row r="180" spans="1:63" ht="34.5" hidden="1" customHeight="1" x14ac:dyDescent="0.25">
      <c r="A180" s="35">
        <f t="shared" si="91"/>
        <v>5</v>
      </c>
      <c r="B180" s="35" t="s">
        <v>377</v>
      </c>
      <c r="C180" s="105">
        <v>20455353839</v>
      </c>
      <c r="D180" s="37" t="s">
        <v>106</v>
      </c>
      <c r="E180" s="81" t="b">
        <v>0</v>
      </c>
      <c r="F180" s="81"/>
      <c r="G180" s="65">
        <v>46022</v>
      </c>
      <c r="H180" s="35">
        <v>2</v>
      </c>
      <c r="I180" s="35" t="s">
        <v>381</v>
      </c>
      <c r="J180" s="95" t="s">
        <v>379</v>
      </c>
      <c r="K180" s="81">
        <v>7025121646</v>
      </c>
      <c r="L180" s="81">
        <v>599060599</v>
      </c>
      <c r="M180" s="81">
        <v>1098369091</v>
      </c>
      <c r="N180" s="35" t="s">
        <v>73</v>
      </c>
      <c r="O180" s="35" t="s">
        <v>97</v>
      </c>
      <c r="P180" s="35">
        <v>10.65</v>
      </c>
      <c r="Q180" s="35">
        <v>4.6500000000000004</v>
      </c>
      <c r="R180" s="35">
        <f t="shared" si="90"/>
        <v>49.522500000000008</v>
      </c>
      <c r="S180" s="43">
        <v>60000</v>
      </c>
      <c r="T180" s="44">
        <f t="shared" ref="T180:T191" si="95">S180*10/100</f>
        <v>6000</v>
      </c>
      <c r="U180" s="63">
        <f t="shared" si="93"/>
        <v>66000</v>
      </c>
      <c r="V180" s="140"/>
      <c r="W180" s="140"/>
      <c r="X180" s="45"/>
      <c r="Y180" s="48">
        <f t="shared" si="54"/>
        <v>0</v>
      </c>
      <c r="Z180" s="50">
        <v>0</v>
      </c>
      <c r="AA180" s="50">
        <f t="shared" si="94"/>
        <v>0</v>
      </c>
      <c r="AB180" s="50">
        <v>0</v>
      </c>
      <c r="AC180" s="52">
        <v>69000</v>
      </c>
      <c r="AD180" s="52">
        <f>S180*1.15-AC180</f>
        <v>0</v>
      </c>
      <c r="AE180" s="53">
        <f>S180*1.15+X180-AB180-AC180</f>
        <v>0</v>
      </c>
      <c r="AF180" s="52" t="b">
        <v>0</v>
      </c>
      <c r="AG180" s="52"/>
      <c r="AH180" s="52"/>
      <c r="AI180" s="52"/>
      <c r="AJ180" s="52"/>
      <c r="AK180" s="52"/>
      <c r="AL180" s="52"/>
      <c r="AM180" s="52" t="b">
        <v>0</v>
      </c>
      <c r="AN180" s="52"/>
      <c r="AO180" s="52"/>
      <c r="AP180" s="52"/>
      <c r="AQ180" s="52"/>
      <c r="AR180" s="52"/>
      <c r="AS180" s="52" t="b">
        <v>0</v>
      </c>
      <c r="AT180" s="52"/>
      <c r="AU180" s="52"/>
      <c r="AV180" s="52"/>
      <c r="AW180" s="52"/>
      <c r="AX180" s="52" t="str">
        <f t="shared" si="55"/>
        <v>ملتزم</v>
      </c>
      <c r="AY180" s="54" t="s">
        <v>77</v>
      </c>
      <c r="AZ180" s="43" t="s">
        <v>107</v>
      </c>
      <c r="BA180" s="55"/>
      <c r="BB180" s="55"/>
      <c r="BC180" s="55"/>
      <c r="BD180" s="54"/>
      <c r="BE180" s="68">
        <v>25300</v>
      </c>
      <c r="BF180" s="54"/>
      <c r="BG180" s="54"/>
      <c r="BH180" s="54"/>
      <c r="BI180" s="54" t="s">
        <v>76</v>
      </c>
      <c r="BJ180" s="54">
        <f>(U180+V180+AE180)-BD180-BE180</f>
        <v>40700</v>
      </c>
      <c r="BK180" s="54" t="s">
        <v>382</v>
      </c>
    </row>
    <row r="181" spans="1:63" ht="34.5" hidden="1" customHeight="1" x14ac:dyDescent="0.25">
      <c r="A181" s="35">
        <f t="shared" si="91"/>
        <v>6</v>
      </c>
      <c r="B181" s="35" t="s">
        <v>383</v>
      </c>
      <c r="C181" s="105">
        <v>20381455127</v>
      </c>
      <c r="D181" s="37" t="s">
        <v>106</v>
      </c>
      <c r="E181" s="81" t="b">
        <v>0</v>
      </c>
      <c r="F181" s="81"/>
      <c r="G181" s="65">
        <v>46022</v>
      </c>
      <c r="H181" s="35">
        <v>1</v>
      </c>
      <c r="I181" s="35">
        <v>272</v>
      </c>
      <c r="J181" s="110">
        <v>37535</v>
      </c>
      <c r="K181" s="114">
        <v>7037331498</v>
      </c>
      <c r="L181" s="114">
        <v>509203049</v>
      </c>
      <c r="M181" s="81">
        <v>1147750358</v>
      </c>
      <c r="N181" s="35" t="s">
        <v>73</v>
      </c>
      <c r="O181" s="35" t="s">
        <v>97</v>
      </c>
      <c r="P181" s="35">
        <v>4</v>
      </c>
      <c r="Q181" s="35">
        <v>4</v>
      </c>
      <c r="R181" s="35">
        <f t="shared" si="90"/>
        <v>16</v>
      </c>
      <c r="S181" s="44">
        <v>34000</v>
      </c>
      <c r="T181" s="44">
        <f t="shared" si="95"/>
        <v>3400</v>
      </c>
      <c r="U181" s="63">
        <f t="shared" si="93"/>
        <v>37400</v>
      </c>
      <c r="V181" s="106"/>
      <c r="W181" s="106"/>
      <c r="X181" s="52">
        <v>0</v>
      </c>
      <c r="Y181" s="48">
        <f t="shared" si="54"/>
        <v>0</v>
      </c>
      <c r="Z181" s="50">
        <v>0</v>
      </c>
      <c r="AA181" s="50">
        <f t="shared" si="94"/>
        <v>0</v>
      </c>
      <c r="AB181" s="50"/>
      <c r="AC181" s="52">
        <v>39100</v>
      </c>
      <c r="AD181" s="52">
        <f>S181*1.15-AC181</f>
        <v>0</v>
      </c>
      <c r="AE181" s="53">
        <f>S181*1.15+X181-AB181-AC181</f>
        <v>0</v>
      </c>
      <c r="AF181" s="52" t="b">
        <v>1</v>
      </c>
      <c r="AG181" s="117">
        <v>45698</v>
      </c>
      <c r="AH181" s="52">
        <v>21630</v>
      </c>
      <c r="AI181" s="54" t="s">
        <v>68</v>
      </c>
      <c r="AJ181" s="52" t="s">
        <v>384</v>
      </c>
      <c r="AK181" s="116" t="s">
        <v>385</v>
      </c>
      <c r="AL181" s="116"/>
      <c r="AM181" s="52" t="b">
        <v>0</v>
      </c>
      <c r="AN181" s="126" t="s">
        <v>152</v>
      </c>
      <c r="AO181" s="52">
        <v>18027</v>
      </c>
      <c r="AP181" s="54"/>
      <c r="AQ181" s="54"/>
      <c r="AR181" s="52"/>
      <c r="AS181" s="52" t="b">
        <v>0</v>
      </c>
      <c r="AT181" s="54"/>
      <c r="AU181" s="52"/>
      <c r="AV181" s="52"/>
      <c r="AW181" s="52"/>
      <c r="AX181" s="52" t="str">
        <f t="shared" si="55"/>
        <v>ملتزم</v>
      </c>
      <c r="AY181" s="54" t="s">
        <v>77</v>
      </c>
      <c r="AZ181" s="43" t="s">
        <v>107</v>
      </c>
      <c r="BA181" s="55"/>
      <c r="BB181" s="55"/>
      <c r="BC181" s="55"/>
      <c r="BD181" s="54"/>
      <c r="BE181" s="68">
        <v>7206</v>
      </c>
      <c r="BF181" s="54"/>
      <c r="BG181" s="54"/>
      <c r="BH181" s="54"/>
      <c r="BI181" s="54" t="s">
        <v>112</v>
      </c>
      <c r="BJ181" s="54">
        <f>(U181+V181+AE181)-BD181-BE181</f>
        <v>30194</v>
      </c>
      <c r="BK181" s="54" t="s">
        <v>382</v>
      </c>
    </row>
    <row r="182" spans="1:63" ht="34.5" hidden="1" customHeight="1" x14ac:dyDescent="0.25">
      <c r="A182" s="35">
        <f t="shared" si="91"/>
        <v>7</v>
      </c>
      <c r="B182" s="75" t="s">
        <v>386</v>
      </c>
      <c r="C182" s="75">
        <v>20694150250</v>
      </c>
      <c r="D182" s="37" t="s">
        <v>106</v>
      </c>
      <c r="E182" s="81" t="b">
        <v>0</v>
      </c>
      <c r="F182" s="81"/>
      <c r="G182" s="65">
        <v>46022</v>
      </c>
      <c r="H182" s="76">
        <v>1</v>
      </c>
      <c r="I182" s="76" t="s">
        <v>387</v>
      </c>
      <c r="J182" s="79" t="s">
        <v>388</v>
      </c>
      <c r="K182" s="109">
        <v>7037331498</v>
      </c>
      <c r="L182" s="109">
        <v>509203049</v>
      </c>
      <c r="M182" s="79">
        <v>1147750358</v>
      </c>
      <c r="N182" s="35" t="s">
        <v>73</v>
      </c>
      <c r="O182" s="42" t="s">
        <v>92</v>
      </c>
      <c r="P182" s="35"/>
      <c r="Q182" s="35"/>
      <c r="R182" s="35">
        <v>15</v>
      </c>
      <c r="S182" s="80">
        <v>15000</v>
      </c>
      <c r="T182" s="44">
        <f t="shared" si="95"/>
        <v>1500</v>
      </c>
      <c r="U182" s="63">
        <f t="shared" si="93"/>
        <v>16500</v>
      </c>
      <c r="V182" s="64"/>
      <c r="W182" s="64"/>
      <c r="X182" s="52">
        <v>0</v>
      </c>
      <c r="Y182" s="48">
        <f t="shared" si="54"/>
        <v>0</v>
      </c>
      <c r="Z182" s="69">
        <v>0</v>
      </c>
      <c r="AA182" s="50">
        <f t="shared" si="94"/>
        <v>0</v>
      </c>
      <c r="AB182" s="50"/>
      <c r="AC182" s="52">
        <v>17250</v>
      </c>
      <c r="AD182" s="52">
        <f>S182*1.15-AC182</f>
        <v>0</v>
      </c>
      <c r="AE182" s="53">
        <f>S182*1.15+X182-AB182-AC182</f>
        <v>0</v>
      </c>
      <c r="AF182" s="52" t="b">
        <v>0</v>
      </c>
      <c r="AG182" s="52"/>
      <c r="AH182" s="52"/>
      <c r="AI182" s="52"/>
      <c r="AJ182" s="52"/>
      <c r="AK182" s="52"/>
      <c r="AL182" s="52"/>
      <c r="AM182" s="52" t="b">
        <v>0</v>
      </c>
      <c r="AN182" s="52"/>
      <c r="AO182" s="52"/>
      <c r="AP182" s="52"/>
      <c r="AQ182" s="52"/>
      <c r="AR182" s="52"/>
      <c r="AS182" s="52" t="b">
        <v>0</v>
      </c>
      <c r="AT182" s="52"/>
      <c r="AU182" s="52"/>
      <c r="AV182" s="52"/>
      <c r="AW182" s="52"/>
      <c r="AX182" s="52" t="str">
        <f t="shared" si="55"/>
        <v>ملتزم</v>
      </c>
      <c r="AY182" s="54" t="s">
        <v>69</v>
      </c>
      <c r="AZ182" s="43" t="s">
        <v>107</v>
      </c>
      <c r="BA182" s="55"/>
      <c r="BB182" s="55"/>
      <c r="BC182" s="55"/>
      <c r="BD182" s="54"/>
      <c r="BE182" s="54"/>
      <c r="BF182" s="54"/>
      <c r="BG182" s="54"/>
      <c r="BH182" s="54"/>
      <c r="BI182" s="54" t="s">
        <v>76</v>
      </c>
      <c r="BJ182" s="54">
        <f>(U182+V182+AE182)-BD182-BE182</f>
        <v>16500</v>
      </c>
      <c r="BK182" s="54"/>
    </row>
    <row r="183" spans="1:63" ht="34.5" hidden="1" customHeight="1" x14ac:dyDescent="0.25">
      <c r="A183" s="35">
        <f t="shared" si="91"/>
        <v>8</v>
      </c>
      <c r="B183" s="35" t="s">
        <v>389</v>
      </c>
      <c r="C183" s="35"/>
      <c r="D183" s="37" t="s">
        <v>106</v>
      </c>
      <c r="E183" s="81" t="b">
        <v>0</v>
      </c>
      <c r="F183" s="81"/>
      <c r="G183" s="65">
        <v>46022</v>
      </c>
      <c r="H183" s="35">
        <v>1</v>
      </c>
      <c r="I183" s="35">
        <v>137</v>
      </c>
      <c r="J183" s="95" t="s">
        <v>390</v>
      </c>
      <c r="K183" s="81">
        <v>7026012943</v>
      </c>
      <c r="L183" s="81">
        <v>503325327</v>
      </c>
      <c r="M183" s="81">
        <v>1090456631</v>
      </c>
      <c r="N183" s="35" t="s">
        <v>64</v>
      </c>
      <c r="O183" s="42" t="s">
        <v>84</v>
      </c>
      <c r="P183" s="35">
        <v>9.6999999999999993</v>
      </c>
      <c r="Q183" s="35">
        <v>9.8000000000000007</v>
      </c>
      <c r="R183" s="35">
        <f t="shared" ref="R183:R185" si="96">P183*Q183</f>
        <v>95.06</v>
      </c>
      <c r="S183" s="43">
        <v>30000</v>
      </c>
      <c r="T183" s="44">
        <f t="shared" si="95"/>
        <v>3000</v>
      </c>
      <c r="U183" s="63">
        <f t="shared" si="93"/>
        <v>33000</v>
      </c>
      <c r="V183" s="129">
        <v>42777</v>
      </c>
      <c r="W183" s="129"/>
      <c r="X183" s="52">
        <v>0</v>
      </c>
      <c r="Y183" s="48">
        <f t="shared" si="54"/>
        <v>0</v>
      </c>
      <c r="Z183" s="69">
        <v>0</v>
      </c>
      <c r="AA183" s="50">
        <f t="shared" si="94"/>
        <v>0</v>
      </c>
      <c r="AB183" s="50"/>
      <c r="AC183" s="52">
        <v>34500</v>
      </c>
      <c r="AD183" s="52">
        <f>S183*1.15-AC183</f>
        <v>0</v>
      </c>
      <c r="AE183" s="53">
        <f>S183*1.15+X183-AB183-AC183</f>
        <v>0</v>
      </c>
      <c r="AF183" s="52" t="b">
        <v>1</v>
      </c>
      <c r="AG183" s="52" t="s">
        <v>67</v>
      </c>
      <c r="AH183" s="52">
        <v>36885.5</v>
      </c>
      <c r="AI183" s="54" t="s">
        <v>68</v>
      </c>
      <c r="AJ183" s="52" t="s">
        <v>136</v>
      </c>
      <c r="AK183" s="116" t="s">
        <v>391</v>
      </c>
      <c r="AL183" s="116"/>
      <c r="AM183" s="52" t="b">
        <v>0</v>
      </c>
      <c r="AN183" s="117">
        <v>45971</v>
      </c>
      <c r="AO183" s="52">
        <v>36885.5</v>
      </c>
      <c r="AP183" s="54"/>
      <c r="AQ183" s="54"/>
      <c r="AR183" s="52"/>
      <c r="AS183" s="52" t="b">
        <v>0</v>
      </c>
      <c r="AT183" s="118"/>
      <c r="AU183" s="52"/>
      <c r="AV183" s="52"/>
      <c r="AW183" s="52"/>
      <c r="AX183" s="52" t="str">
        <f t="shared" si="55"/>
        <v>ملتزم</v>
      </c>
      <c r="AY183" s="54" t="s">
        <v>77</v>
      </c>
      <c r="AZ183" s="43"/>
      <c r="BA183" s="70" t="s">
        <v>176</v>
      </c>
      <c r="BB183" s="70"/>
      <c r="BC183" s="70"/>
      <c r="BD183" s="54"/>
      <c r="BE183" s="54"/>
      <c r="BF183" s="54"/>
      <c r="BG183" s="54"/>
      <c r="BH183" s="54"/>
      <c r="BI183" s="54" t="s">
        <v>76</v>
      </c>
      <c r="BJ183" s="54">
        <f>(U183+V183+AE183)-BD183-BE183</f>
        <v>75777</v>
      </c>
      <c r="BK183" s="54"/>
    </row>
    <row r="184" spans="1:63" ht="34.5" hidden="1" customHeight="1" x14ac:dyDescent="0.25">
      <c r="A184" s="35">
        <f t="shared" si="91"/>
        <v>9</v>
      </c>
      <c r="B184" s="35" t="s">
        <v>392</v>
      </c>
      <c r="C184" s="105">
        <v>20828168862</v>
      </c>
      <c r="D184" s="37" t="s">
        <v>106</v>
      </c>
      <c r="E184" s="81" t="b">
        <v>0</v>
      </c>
      <c r="F184" s="81"/>
      <c r="G184" s="65">
        <v>46022</v>
      </c>
      <c r="H184" s="35">
        <v>1</v>
      </c>
      <c r="I184" s="35">
        <v>375</v>
      </c>
      <c r="J184" s="95" t="s">
        <v>393</v>
      </c>
      <c r="K184" s="81">
        <v>7002619240</v>
      </c>
      <c r="L184" s="81">
        <v>502429510</v>
      </c>
      <c r="M184" s="81">
        <v>1104583867</v>
      </c>
      <c r="N184" s="35" t="s">
        <v>73</v>
      </c>
      <c r="O184" s="35" t="s">
        <v>97</v>
      </c>
      <c r="P184" s="35">
        <v>5.6</v>
      </c>
      <c r="Q184" s="35">
        <v>4.5</v>
      </c>
      <c r="R184" s="35">
        <f t="shared" si="96"/>
        <v>25.2</v>
      </c>
      <c r="S184" s="44">
        <v>34000</v>
      </c>
      <c r="T184" s="44">
        <f t="shared" si="95"/>
        <v>3400</v>
      </c>
      <c r="U184" s="63">
        <f t="shared" si="93"/>
        <v>37400</v>
      </c>
      <c r="V184" s="106"/>
      <c r="W184" s="106"/>
      <c r="X184" s="52">
        <v>0</v>
      </c>
      <c r="Y184" s="48">
        <f t="shared" si="54"/>
        <v>0</v>
      </c>
      <c r="Z184" s="50">
        <v>0</v>
      </c>
      <c r="AA184" s="50">
        <f t="shared" si="94"/>
        <v>0</v>
      </c>
      <c r="AB184" s="50"/>
      <c r="AC184" s="52">
        <v>39100</v>
      </c>
      <c r="AD184" s="52">
        <f>S184*1.15-AC184</f>
        <v>0</v>
      </c>
      <c r="AE184" s="53">
        <f>S184*1.15+X184-AB184-AC184</f>
        <v>0</v>
      </c>
      <c r="AF184" s="52" t="b">
        <v>0</v>
      </c>
      <c r="AG184" s="52"/>
      <c r="AH184" s="52"/>
      <c r="AI184" s="52"/>
      <c r="AJ184" s="52"/>
      <c r="AK184" s="52"/>
      <c r="AL184" s="52"/>
      <c r="AM184" s="52" t="b">
        <v>0</v>
      </c>
      <c r="AN184" s="52"/>
      <c r="AO184" s="52"/>
      <c r="AP184" s="52"/>
      <c r="AQ184" s="52"/>
      <c r="AR184" s="52"/>
      <c r="AS184" s="52" t="b">
        <v>0</v>
      </c>
      <c r="AT184" s="52"/>
      <c r="AU184" s="52"/>
      <c r="AV184" s="52"/>
      <c r="AW184" s="52"/>
      <c r="AX184" s="52" t="str">
        <f t="shared" si="55"/>
        <v>ملتزم</v>
      </c>
      <c r="AY184" s="54" t="s">
        <v>69</v>
      </c>
      <c r="AZ184" s="43" t="s">
        <v>107</v>
      </c>
      <c r="BA184" s="55"/>
      <c r="BB184" s="55"/>
      <c r="BC184" s="55"/>
      <c r="BD184" s="54"/>
      <c r="BE184" s="68">
        <v>21620</v>
      </c>
      <c r="BF184" s="54"/>
      <c r="BG184" s="54"/>
      <c r="BH184" s="54"/>
      <c r="BI184" s="54" t="s">
        <v>112</v>
      </c>
      <c r="BJ184" s="54">
        <f>(U184+V184+AE184)-BD184-BE184</f>
        <v>15780</v>
      </c>
      <c r="BK184" s="54" t="s">
        <v>205</v>
      </c>
    </row>
    <row r="185" spans="1:63" ht="34.5" hidden="1" customHeight="1" x14ac:dyDescent="0.25">
      <c r="A185" s="35">
        <f t="shared" si="91"/>
        <v>10</v>
      </c>
      <c r="B185" s="57" t="s">
        <v>394</v>
      </c>
      <c r="C185" s="57">
        <v>20712449304</v>
      </c>
      <c r="D185" s="37" t="s">
        <v>106</v>
      </c>
      <c r="E185" s="81" t="b">
        <v>0</v>
      </c>
      <c r="F185" s="81"/>
      <c r="G185" s="65">
        <v>46022</v>
      </c>
      <c r="H185" s="42">
        <v>1</v>
      </c>
      <c r="I185" s="42">
        <v>18</v>
      </c>
      <c r="J185" s="59" t="s">
        <v>395</v>
      </c>
      <c r="K185" s="61">
        <v>7017031555</v>
      </c>
      <c r="L185" s="61">
        <v>540994884</v>
      </c>
      <c r="M185" s="61">
        <v>1089289472</v>
      </c>
      <c r="N185" s="35" t="s">
        <v>73</v>
      </c>
      <c r="O185" s="42" t="s">
        <v>74</v>
      </c>
      <c r="P185" s="35">
        <v>7.8</v>
      </c>
      <c r="Q185" s="35">
        <v>4.4000000000000004</v>
      </c>
      <c r="R185" s="35">
        <f t="shared" si="96"/>
        <v>34.32</v>
      </c>
      <c r="S185" s="62">
        <v>25000</v>
      </c>
      <c r="T185" s="44">
        <f t="shared" si="95"/>
        <v>2500</v>
      </c>
      <c r="U185" s="63">
        <f t="shared" si="93"/>
        <v>27500</v>
      </c>
      <c r="V185" s="99"/>
      <c r="W185" s="99"/>
      <c r="X185" s="52">
        <v>0</v>
      </c>
      <c r="Y185" s="48">
        <f t="shared" si="54"/>
        <v>0</v>
      </c>
      <c r="Z185" s="69">
        <v>0</v>
      </c>
      <c r="AA185" s="50">
        <f t="shared" si="94"/>
        <v>0</v>
      </c>
      <c r="AB185" s="50"/>
      <c r="AC185" s="52">
        <v>28750</v>
      </c>
      <c r="AD185" s="52">
        <f>S185*1.15-AC185</f>
        <v>0</v>
      </c>
      <c r="AE185" s="53">
        <f>S185*1.15+X185-AB185-AC185</f>
        <v>0</v>
      </c>
      <c r="AF185" s="52" t="b">
        <v>0</v>
      </c>
      <c r="AG185" s="52"/>
      <c r="AH185" s="52"/>
      <c r="AI185" s="52"/>
      <c r="AJ185" s="52"/>
      <c r="AK185" s="52"/>
      <c r="AL185" s="52"/>
      <c r="AM185" s="52" t="b">
        <v>0</v>
      </c>
      <c r="AN185" s="52"/>
      <c r="AO185" s="52"/>
      <c r="AP185" s="52"/>
      <c r="AQ185" s="52"/>
      <c r="AR185" s="52"/>
      <c r="AS185" s="52" t="b">
        <v>0</v>
      </c>
      <c r="AT185" s="52"/>
      <c r="AU185" s="52"/>
      <c r="AV185" s="52"/>
      <c r="AW185" s="52"/>
      <c r="AX185" s="52" t="str">
        <f t="shared" si="55"/>
        <v>ملتزم</v>
      </c>
      <c r="AY185" s="54" t="s">
        <v>77</v>
      </c>
      <c r="AZ185" s="43" t="s">
        <v>107</v>
      </c>
      <c r="BA185" s="55"/>
      <c r="BB185" s="55"/>
      <c r="BC185" s="55"/>
      <c r="BD185" s="54"/>
      <c r="BE185" s="68">
        <v>7964</v>
      </c>
      <c r="BF185" s="54"/>
      <c r="BG185" s="54"/>
      <c r="BH185" s="54"/>
      <c r="BI185" s="54" t="s">
        <v>76</v>
      </c>
      <c r="BJ185" s="54">
        <f>(U185+V185+AE185)-BD185-BE185</f>
        <v>19536</v>
      </c>
      <c r="BK185" s="54" t="s">
        <v>113</v>
      </c>
    </row>
    <row r="186" spans="1:63" ht="34.5" hidden="1" customHeight="1" x14ac:dyDescent="0.25">
      <c r="A186" s="35">
        <f t="shared" si="91"/>
        <v>11</v>
      </c>
      <c r="B186" s="57" t="s">
        <v>396</v>
      </c>
      <c r="C186" s="57"/>
      <c r="D186" s="37" t="s">
        <v>106</v>
      </c>
      <c r="E186" s="81" t="b">
        <v>0</v>
      </c>
      <c r="F186" s="81"/>
      <c r="G186" s="65">
        <v>46022</v>
      </c>
      <c r="H186" s="42">
        <v>1</v>
      </c>
      <c r="I186" s="42">
        <v>9</v>
      </c>
      <c r="J186" s="147" t="s">
        <v>397</v>
      </c>
      <c r="K186" s="61">
        <v>7012900283</v>
      </c>
      <c r="L186" s="61">
        <v>530733933</v>
      </c>
      <c r="M186" s="61">
        <v>1072561747</v>
      </c>
      <c r="N186" s="35" t="s">
        <v>73</v>
      </c>
      <c r="O186" s="42" t="s">
        <v>74</v>
      </c>
      <c r="P186" s="35"/>
      <c r="Q186" s="35"/>
      <c r="R186" s="35">
        <v>92.4</v>
      </c>
      <c r="S186" s="62">
        <v>27500</v>
      </c>
      <c r="T186" s="44">
        <f t="shared" si="95"/>
        <v>2750</v>
      </c>
      <c r="U186" s="63">
        <f t="shared" si="93"/>
        <v>30250</v>
      </c>
      <c r="V186" s="64"/>
      <c r="W186" s="64"/>
      <c r="X186" s="52"/>
      <c r="Y186" s="48">
        <f t="shared" si="54"/>
        <v>0</v>
      </c>
      <c r="Z186" s="69">
        <v>0</v>
      </c>
      <c r="AA186" s="50">
        <f t="shared" si="94"/>
        <v>0</v>
      </c>
      <c r="AB186" s="50"/>
      <c r="AC186" s="52">
        <v>31625</v>
      </c>
      <c r="AD186" s="52">
        <f>S186*1.15-AC186</f>
        <v>0</v>
      </c>
      <c r="AE186" s="53">
        <f>S186*1.15+X186-AB186-AC186</f>
        <v>0</v>
      </c>
      <c r="AF186" s="52" t="b">
        <v>0</v>
      </c>
      <c r="AG186" s="52"/>
      <c r="AH186" s="52"/>
      <c r="AI186" s="52"/>
      <c r="AJ186" s="52"/>
      <c r="AK186" s="52"/>
      <c r="AL186" s="52"/>
      <c r="AM186" s="52" t="b">
        <v>0</v>
      </c>
      <c r="AN186" s="52"/>
      <c r="AO186" s="52"/>
      <c r="AP186" s="52"/>
      <c r="AQ186" s="52"/>
      <c r="AR186" s="52"/>
      <c r="AS186" s="52" t="b">
        <v>0</v>
      </c>
      <c r="AT186" s="52"/>
      <c r="AU186" s="52"/>
      <c r="AV186" s="52"/>
      <c r="AW186" s="52"/>
      <c r="AX186" s="52" t="str">
        <f t="shared" si="55"/>
        <v>ملتزم</v>
      </c>
      <c r="AY186" s="54" t="s">
        <v>77</v>
      </c>
      <c r="AZ186" s="43" t="s">
        <v>107</v>
      </c>
      <c r="BA186" s="55"/>
      <c r="BB186" s="55"/>
      <c r="BC186" s="55"/>
      <c r="BD186" s="54"/>
      <c r="BE186" s="68">
        <v>17395</v>
      </c>
      <c r="BF186" s="54"/>
      <c r="BG186" s="54"/>
      <c r="BH186" s="54"/>
      <c r="BI186" s="54" t="s">
        <v>76</v>
      </c>
      <c r="BJ186" s="54">
        <f>(U186+V186+AE186)-BD186-BE186</f>
        <v>12855</v>
      </c>
      <c r="BK186" s="54" t="s">
        <v>113</v>
      </c>
    </row>
    <row r="187" spans="1:63" ht="34.5" hidden="1" customHeight="1" x14ac:dyDescent="0.25">
      <c r="A187" s="35">
        <f t="shared" si="91"/>
        <v>12</v>
      </c>
      <c r="B187" s="57" t="s">
        <v>396</v>
      </c>
      <c r="C187" s="57"/>
      <c r="D187" s="37" t="s">
        <v>106</v>
      </c>
      <c r="E187" s="81" t="b">
        <v>0</v>
      </c>
      <c r="F187" s="81"/>
      <c r="G187" s="65">
        <v>46022</v>
      </c>
      <c r="H187" s="42">
        <v>1</v>
      </c>
      <c r="I187" s="42">
        <v>23</v>
      </c>
      <c r="J187" s="147" t="s">
        <v>397</v>
      </c>
      <c r="K187" s="61">
        <v>7012900283</v>
      </c>
      <c r="L187" s="61">
        <v>530733933</v>
      </c>
      <c r="M187" s="61">
        <v>1072561747</v>
      </c>
      <c r="N187" s="35" t="s">
        <v>73</v>
      </c>
      <c r="O187" s="42" t="s">
        <v>74</v>
      </c>
      <c r="P187" s="35"/>
      <c r="Q187" s="35"/>
      <c r="R187" s="35">
        <v>54.4</v>
      </c>
      <c r="S187" s="62">
        <v>27500</v>
      </c>
      <c r="T187" s="44">
        <f t="shared" si="95"/>
        <v>2750</v>
      </c>
      <c r="U187" s="63">
        <f t="shared" si="93"/>
        <v>30250</v>
      </c>
      <c r="V187" s="64"/>
      <c r="W187" s="64"/>
      <c r="X187" s="51">
        <v>0</v>
      </c>
      <c r="Y187" s="48">
        <f t="shared" si="54"/>
        <v>0</v>
      </c>
      <c r="Z187" s="49">
        <v>0</v>
      </c>
      <c r="AA187" s="50">
        <f t="shared" si="94"/>
        <v>0</v>
      </c>
      <c r="AB187" s="50"/>
      <c r="AC187" s="51">
        <v>31625</v>
      </c>
      <c r="AD187" s="52">
        <f>S187*1.15-AC187</f>
        <v>0</v>
      </c>
      <c r="AE187" s="53">
        <f>S187*1.15+X187-AB187-AC187</f>
        <v>0</v>
      </c>
      <c r="AF187" s="52" t="b">
        <v>0</v>
      </c>
      <c r="AG187" s="52"/>
      <c r="AH187" s="52"/>
      <c r="AI187" s="52"/>
      <c r="AJ187" s="52"/>
      <c r="AK187" s="52"/>
      <c r="AL187" s="52"/>
      <c r="AM187" s="52" t="b">
        <v>0</v>
      </c>
      <c r="AN187" s="52"/>
      <c r="AO187" s="52"/>
      <c r="AP187" s="52"/>
      <c r="AQ187" s="52"/>
      <c r="AR187" s="52"/>
      <c r="AS187" s="52" t="b">
        <v>0</v>
      </c>
      <c r="AT187" s="52"/>
      <c r="AU187" s="52"/>
      <c r="AV187" s="52"/>
      <c r="AW187" s="52"/>
      <c r="AX187" s="52" t="str">
        <f t="shared" si="55"/>
        <v>ملتزم</v>
      </c>
      <c r="AY187" s="54" t="s">
        <v>398</v>
      </c>
      <c r="AZ187" s="43" t="s">
        <v>107</v>
      </c>
      <c r="BA187" s="70"/>
      <c r="BB187" s="70"/>
      <c r="BC187" s="70"/>
      <c r="BD187" s="54"/>
      <c r="BE187" s="68">
        <v>17394</v>
      </c>
      <c r="BF187" s="54"/>
      <c r="BG187" s="54"/>
      <c r="BH187" s="54"/>
      <c r="BI187" s="54" t="s">
        <v>72</v>
      </c>
      <c r="BJ187" s="54">
        <f>(U187+V187+AE187)-BD187-BE187</f>
        <v>12856</v>
      </c>
      <c r="BK187" s="54" t="s">
        <v>113</v>
      </c>
    </row>
    <row r="188" spans="1:63" ht="34.5" hidden="1" customHeight="1" x14ac:dyDescent="0.25">
      <c r="A188" s="35">
        <f t="shared" si="91"/>
        <v>13</v>
      </c>
      <c r="B188" s="57" t="s">
        <v>396</v>
      </c>
      <c r="C188" s="105">
        <v>20259246280</v>
      </c>
      <c r="D188" s="37" t="s">
        <v>106</v>
      </c>
      <c r="E188" s="81" t="b">
        <v>0</v>
      </c>
      <c r="F188" s="81"/>
      <c r="G188" s="113">
        <v>46022</v>
      </c>
      <c r="H188" s="35">
        <v>2</v>
      </c>
      <c r="I188" s="35" t="s">
        <v>399</v>
      </c>
      <c r="J188" s="84" t="s">
        <v>397</v>
      </c>
      <c r="K188" s="87">
        <v>7012900283</v>
      </c>
      <c r="L188" s="87">
        <v>530733933</v>
      </c>
      <c r="M188" s="81">
        <v>1072561747</v>
      </c>
      <c r="N188" s="35" t="s">
        <v>73</v>
      </c>
      <c r="O188" s="35" t="s">
        <v>97</v>
      </c>
      <c r="P188" s="35">
        <v>10.4</v>
      </c>
      <c r="Q188" s="35">
        <v>3.6</v>
      </c>
      <c r="R188" s="35">
        <f t="shared" ref="R188:R192" si="97">P188*Q188</f>
        <v>37.440000000000005</v>
      </c>
      <c r="S188" s="44">
        <v>60000</v>
      </c>
      <c r="T188" s="44">
        <f t="shared" si="95"/>
        <v>6000</v>
      </c>
      <c r="U188" s="63">
        <f t="shared" ref="U188:U189" si="98">S188+T188+200</f>
        <v>66200</v>
      </c>
      <c r="V188" s="44"/>
      <c r="W188" s="44"/>
      <c r="X188" s="54">
        <v>0</v>
      </c>
      <c r="Y188" s="89">
        <f t="shared" si="54"/>
        <v>0</v>
      </c>
      <c r="Z188" s="91">
        <v>0</v>
      </c>
      <c r="AA188" s="91">
        <f t="shared" si="94"/>
        <v>0</v>
      </c>
      <c r="AB188" s="91"/>
      <c r="AC188" s="54">
        <v>69000</v>
      </c>
      <c r="AD188" s="54">
        <f>S188*1.15-AC188</f>
        <v>0</v>
      </c>
      <c r="AE188" s="53">
        <f>S188*1.15+X188-AB188-AC188</f>
        <v>0</v>
      </c>
      <c r="AF188" s="54" t="b">
        <v>0</v>
      </c>
      <c r="AG188" s="54"/>
      <c r="AH188" s="54"/>
      <c r="AI188" s="54"/>
      <c r="AJ188" s="54"/>
      <c r="AK188" s="54"/>
      <c r="AL188" s="54"/>
      <c r="AM188" s="54" t="b">
        <v>0</v>
      </c>
      <c r="AN188" s="54"/>
      <c r="AO188" s="54"/>
      <c r="AP188" s="54"/>
      <c r="AQ188" s="54"/>
      <c r="AR188" s="54"/>
      <c r="AS188" s="54" t="b">
        <v>0</v>
      </c>
      <c r="AT188" s="54"/>
      <c r="AU188" s="54"/>
      <c r="AV188" s="54"/>
      <c r="AW188" s="54"/>
      <c r="AX188" s="54" t="str">
        <f t="shared" si="55"/>
        <v>ملتزم</v>
      </c>
      <c r="AY188" s="54" t="s">
        <v>69</v>
      </c>
      <c r="AZ188" s="43" t="s">
        <v>107</v>
      </c>
      <c r="BA188" s="55"/>
      <c r="BB188" s="55"/>
      <c r="BC188" s="55"/>
      <c r="BD188" s="54"/>
      <c r="BE188" s="68">
        <v>37950</v>
      </c>
      <c r="BF188" s="54"/>
      <c r="BG188" s="54"/>
      <c r="BH188" s="54"/>
      <c r="BI188" s="54" t="s">
        <v>76</v>
      </c>
      <c r="BJ188" s="54">
        <f>(U188+V188+AE188)-BD188-BE188</f>
        <v>28250</v>
      </c>
      <c r="BK188" s="54" t="s">
        <v>113</v>
      </c>
    </row>
    <row r="189" spans="1:63" ht="34.5" hidden="1" customHeight="1" x14ac:dyDescent="0.25">
      <c r="A189" s="35">
        <f t="shared" si="91"/>
        <v>14</v>
      </c>
      <c r="B189" s="35" t="s">
        <v>400</v>
      </c>
      <c r="C189" s="105">
        <v>20651817271</v>
      </c>
      <c r="D189" s="37" t="s">
        <v>106</v>
      </c>
      <c r="E189" s="81" t="b">
        <v>0</v>
      </c>
      <c r="F189" s="81"/>
      <c r="G189" s="113">
        <v>46022</v>
      </c>
      <c r="H189" s="35">
        <v>1</v>
      </c>
      <c r="I189" s="35">
        <v>263</v>
      </c>
      <c r="J189" s="95" t="s">
        <v>395</v>
      </c>
      <c r="K189" s="81">
        <v>7017031555</v>
      </c>
      <c r="L189" s="81">
        <v>540994884</v>
      </c>
      <c r="M189" s="81">
        <v>1089289472</v>
      </c>
      <c r="N189" s="35" t="s">
        <v>73</v>
      </c>
      <c r="O189" s="35" t="s">
        <v>97</v>
      </c>
      <c r="P189" s="35">
        <v>4</v>
      </c>
      <c r="Q189" s="35">
        <v>4</v>
      </c>
      <c r="R189" s="35">
        <f t="shared" si="97"/>
        <v>16</v>
      </c>
      <c r="S189" s="44">
        <v>34000</v>
      </c>
      <c r="T189" s="44">
        <f t="shared" si="95"/>
        <v>3400</v>
      </c>
      <c r="U189" s="63">
        <f t="shared" si="98"/>
        <v>37600</v>
      </c>
      <c r="V189" s="148"/>
      <c r="W189" s="148"/>
      <c r="X189" s="54">
        <v>0</v>
      </c>
      <c r="Y189" s="89">
        <f t="shared" si="54"/>
        <v>0</v>
      </c>
      <c r="Z189" s="91">
        <v>0</v>
      </c>
      <c r="AA189" s="91">
        <f t="shared" si="94"/>
        <v>0</v>
      </c>
      <c r="AB189" s="91"/>
      <c r="AC189" s="54">
        <v>39100</v>
      </c>
      <c r="AD189" s="54">
        <f>S189*1.15-AC189</f>
        <v>0</v>
      </c>
      <c r="AE189" s="53">
        <f>S189*1.15+X189-AB189-AC189</f>
        <v>0</v>
      </c>
      <c r="AF189" s="52" t="b">
        <v>0</v>
      </c>
      <c r="AG189" s="52"/>
      <c r="AH189" s="52"/>
      <c r="AI189" s="52"/>
      <c r="AJ189" s="52"/>
      <c r="AK189" s="52"/>
      <c r="AL189" s="52"/>
      <c r="AM189" s="52" t="b">
        <v>0</v>
      </c>
      <c r="AN189" s="52"/>
      <c r="AO189" s="52"/>
      <c r="AP189" s="52"/>
      <c r="AQ189" s="52"/>
      <c r="AR189" s="52"/>
      <c r="AS189" s="52" t="b">
        <v>0</v>
      </c>
      <c r="AT189" s="54"/>
      <c r="AU189" s="54"/>
      <c r="AV189" s="54"/>
      <c r="AW189" s="54"/>
      <c r="AX189" s="54" t="str">
        <f t="shared" si="55"/>
        <v>ملتزم</v>
      </c>
      <c r="AY189" s="54" t="s">
        <v>69</v>
      </c>
      <c r="AZ189" s="43" t="s">
        <v>107</v>
      </c>
      <c r="BA189" s="55"/>
      <c r="BB189" s="55"/>
      <c r="BC189" s="55"/>
      <c r="BD189" s="54"/>
      <c r="BE189" s="68">
        <v>32430</v>
      </c>
      <c r="BF189" s="54"/>
      <c r="BG189" s="54"/>
      <c r="BH189" s="54"/>
      <c r="BI189" s="54" t="s">
        <v>112</v>
      </c>
      <c r="BJ189" s="54">
        <f>(U189+V189+AE189)-BD189-BE189</f>
        <v>5170</v>
      </c>
      <c r="BK189" s="54" t="s">
        <v>113</v>
      </c>
    </row>
    <row r="190" spans="1:63" ht="34.5" hidden="1" customHeight="1" x14ac:dyDescent="0.25">
      <c r="A190" s="35">
        <f t="shared" si="91"/>
        <v>15</v>
      </c>
      <c r="B190" s="57" t="s">
        <v>401</v>
      </c>
      <c r="C190" s="57"/>
      <c r="D190" s="37" t="s">
        <v>106</v>
      </c>
      <c r="E190" s="81" t="b">
        <v>0</v>
      </c>
      <c r="F190" s="81"/>
      <c r="G190" s="65">
        <v>46022</v>
      </c>
      <c r="H190" s="42">
        <v>1</v>
      </c>
      <c r="I190" s="42">
        <v>74</v>
      </c>
      <c r="J190" s="59" t="s">
        <v>393</v>
      </c>
      <c r="K190" s="61">
        <v>7002619240</v>
      </c>
      <c r="L190" s="61">
        <v>502429510</v>
      </c>
      <c r="M190" s="61">
        <v>1104583867</v>
      </c>
      <c r="N190" s="35" t="s">
        <v>73</v>
      </c>
      <c r="O190" s="42" t="s">
        <v>74</v>
      </c>
      <c r="P190" s="35">
        <v>10</v>
      </c>
      <c r="Q190" s="35">
        <v>8.1999999999999993</v>
      </c>
      <c r="R190" s="35">
        <f t="shared" si="97"/>
        <v>82</v>
      </c>
      <c r="S190" s="150">
        <v>30000</v>
      </c>
      <c r="T190" s="44">
        <f t="shared" si="95"/>
        <v>3000</v>
      </c>
      <c r="U190" s="63">
        <f>S190+T190</f>
        <v>33000</v>
      </c>
      <c r="V190" s="64"/>
      <c r="W190" s="64"/>
      <c r="X190" s="52">
        <v>0</v>
      </c>
      <c r="Y190" s="48">
        <f t="shared" si="54"/>
        <v>0</v>
      </c>
      <c r="Z190" s="69">
        <v>0</v>
      </c>
      <c r="AA190" s="50">
        <f t="shared" si="94"/>
        <v>0</v>
      </c>
      <c r="AB190" s="50"/>
      <c r="AC190" s="52">
        <v>34500</v>
      </c>
      <c r="AD190" s="52">
        <f>S190*1.15-AC190</f>
        <v>0</v>
      </c>
      <c r="AE190" s="53">
        <f>S190*1.15+X190-AB190-AC190</f>
        <v>0</v>
      </c>
      <c r="AF190" s="52" t="b">
        <v>0</v>
      </c>
      <c r="AG190" s="52"/>
      <c r="AH190" s="52"/>
      <c r="AI190" s="52"/>
      <c r="AJ190" s="52"/>
      <c r="AK190" s="52"/>
      <c r="AL190" s="52"/>
      <c r="AM190" s="52" t="b">
        <v>0</v>
      </c>
      <c r="AN190" s="52"/>
      <c r="AO190" s="52"/>
      <c r="AP190" s="52"/>
      <c r="AQ190" s="52"/>
      <c r="AR190" s="52"/>
      <c r="AS190" s="52" t="b">
        <v>0</v>
      </c>
      <c r="AT190" s="52"/>
      <c r="AU190" s="52"/>
      <c r="AV190" s="52"/>
      <c r="AW190" s="52"/>
      <c r="AX190" s="52" t="str">
        <f t="shared" si="55"/>
        <v>ملتزم</v>
      </c>
      <c r="AY190" s="54" t="s">
        <v>77</v>
      </c>
      <c r="AZ190" s="43" t="s">
        <v>107</v>
      </c>
      <c r="BA190" s="55"/>
      <c r="BB190" s="55"/>
      <c r="BC190" s="55"/>
      <c r="BD190" s="54"/>
      <c r="BE190" s="68">
        <v>19090</v>
      </c>
      <c r="BF190" s="54"/>
      <c r="BG190" s="54"/>
      <c r="BH190" s="54"/>
      <c r="BI190" s="54" t="s">
        <v>72</v>
      </c>
      <c r="BJ190" s="54">
        <f>(U190+V190+AE190)-BD190-BE190</f>
        <v>13910</v>
      </c>
      <c r="BK190" s="54" t="s">
        <v>205</v>
      </c>
    </row>
    <row r="191" spans="1:63" ht="34.5" hidden="1" customHeight="1" x14ac:dyDescent="0.25">
      <c r="A191" s="35">
        <f t="shared" si="91"/>
        <v>16</v>
      </c>
      <c r="B191" s="35" t="s">
        <v>402</v>
      </c>
      <c r="C191" s="105">
        <v>20562682757</v>
      </c>
      <c r="D191" s="37" t="s">
        <v>106</v>
      </c>
      <c r="E191" s="81" t="b">
        <v>0</v>
      </c>
      <c r="F191" s="81"/>
      <c r="G191" s="113">
        <v>46022</v>
      </c>
      <c r="H191" s="35">
        <v>1</v>
      </c>
      <c r="I191" s="35">
        <v>308</v>
      </c>
      <c r="J191" s="110">
        <v>28461</v>
      </c>
      <c r="K191" s="87">
        <v>7001767412</v>
      </c>
      <c r="L191" s="87">
        <v>566133183</v>
      </c>
      <c r="M191" s="81" t="s">
        <v>403</v>
      </c>
      <c r="N191" s="35" t="s">
        <v>73</v>
      </c>
      <c r="O191" s="35" t="s">
        <v>97</v>
      </c>
      <c r="P191" s="35">
        <v>5</v>
      </c>
      <c r="Q191" s="35">
        <v>4</v>
      </c>
      <c r="R191" s="35">
        <f t="shared" si="97"/>
        <v>20</v>
      </c>
      <c r="S191" s="44">
        <v>30000</v>
      </c>
      <c r="T191" s="44">
        <f t="shared" si="95"/>
        <v>3000</v>
      </c>
      <c r="U191" s="63">
        <f>S191+T191+200</f>
        <v>33200</v>
      </c>
      <c r="V191" s="148"/>
      <c r="W191" s="148"/>
      <c r="X191" s="54">
        <v>0</v>
      </c>
      <c r="Y191" s="89">
        <f t="shared" si="54"/>
        <v>0</v>
      </c>
      <c r="Z191" s="91">
        <v>0</v>
      </c>
      <c r="AA191" s="91">
        <f t="shared" si="94"/>
        <v>0</v>
      </c>
      <c r="AB191" s="91"/>
      <c r="AC191" s="54">
        <v>34500</v>
      </c>
      <c r="AD191" s="54">
        <f>S191*1.15-AC191</f>
        <v>0</v>
      </c>
      <c r="AE191" s="53">
        <f>S191*1.15+X191-AB191-AC191</f>
        <v>0</v>
      </c>
      <c r="AF191" s="54" t="b">
        <v>0</v>
      </c>
      <c r="AG191" s="54"/>
      <c r="AH191" s="54"/>
      <c r="AI191" s="54"/>
      <c r="AJ191" s="54"/>
      <c r="AK191" s="54"/>
      <c r="AL191" s="54"/>
      <c r="AM191" s="54" t="b">
        <v>0</v>
      </c>
      <c r="AN191" s="54"/>
      <c r="AO191" s="54"/>
      <c r="AP191" s="54"/>
      <c r="AQ191" s="54"/>
      <c r="AR191" s="54"/>
      <c r="AS191" s="54" t="b">
        <v>0</v>
      </c>
      <c r="AT191" s="54"/>
      <c r="AU191" s="54"/>
      <c r="AV191" s="54"/>
      <c r="AW191" s="54"/>
      <c r="AX191" s="54" t="str">
        <f t="shared" si="55"/>
        <v>ملتزم</v>
      </c>
      <c r="AY191" s="54" t="s">
        <v>69</v>
      </c>
      <c r="AZ191" s="43" t="s">
        <v>107</v>
      </c>
      <c r="BA191" s="55"/>
      <c r="BB191" s="55"/>
      <c r="BC191" s="55"/>
      <c r="BD191" s="54"/>
      <c r="BE191" s="68">
        <v>19090</v>
      </c>
      <c r="BF191" s="54"/>
      <c r="BG191" s="54"/>
      <c r="BH191" s="54"/>
      <c r="BI191" s="54" t="s">
        <v>76</v>
      </c>
      <c r="BJ191" s="54">
        <f>(U191+V191+AE191)-BD191-BE191</f>
        <v>14110</v>
      </c>
      <c r="BK191" s="54" t="s">
        <v>404</v>
      </c>
    </row>
    <row r="192" spans="1:63" ht="34.5" hidden="1" customHeight="1" x14ac:dyDescent="0.25">
      <c r="A192" s="35">
        <f t="shared" si="91"/>
        <v>17</v>
      </c>
      <c r="B192" s="35" t="s">
        <v>402</v>
      </c>
      <c r="C192" s="105">
        <v>20428165081</v>
      </c>
      <c r="D192" s="37" t="s">
        <v>106</v>
      </c>
      <c r="E192" s="81" t="b">
        <v>0</v>
      </c>
      <c r="F192" s="81"/>
      <c r="G192" s="113">
        <v>46022</v>
      </c>
      <c r="H192" s="35">
        <v>3</v>
      </c>
      <c r="I192" s="35" t="s">
        <v>405</v>
      </c>
      <c r="J192" s="110">
        <v>35766</v>
      </c>
      <c r="K192" s="81">
        <v>7001767412</v>
      </c>
      <c r="L192" s="81">
        <v>566133183</v>
      </c>
      <c r="M192" s="81">
        <v>2466443666</v>
      </c>
      <c r="N192" s="35" t="s">
        <v>73</v>
      </c>
      <c r="O192" s="35" t="s">
        <v>97</v>
      </c>
      <c r="P192" s="35">
        <v>10.95</v>
      </c>
      <c r="Q192" s="35">
        <v>4.17</v>
      </c>
      <c r="R192" s="35">
        <f t="shared" si="97"/>
        <v>45.661499999999997</v>
      </c>
      <c r="S192" s="44">
        <v>98000</v>
      </c>
      <c r="T192" s="44">
        <v>16800</v>
      </c>
      <c r="U192" s="63">
        <v>114800</v>
      </c>
      <c r="V192" s="44"/>
      <c r="W192" s="44"/>
      <c r="X192" s="54">
        <v>0</v>
      </c>
      <c r="Y192" s="89">
        <f t="shared" si="54"/>
        <v>0</v>
      </c>
      <c r="Z192" s="91">
        <v>0</v>
      </c>
      <c r="AA192" s="91">
        <f t="shared" si="94"/>
        <v>0</v>
      </c>
      <c r="AB192" s="91"/>
      <c r="AC192" s="54">
        <v>112700</v>
      </c>
      <c r="AD192" s="54">
        <f>S192*1.15-AC192</f>
        <v>0</v>
      </c>
      <c r="AE192" s="53">
        <f>S192*1.15+X192-AB192-AC192</f>
        <v>0</v>
      </c>
      <c r="AF192" s="54" t="b">
        <v>0</v>
      </c>
      <c r="AG192" s="54"/>
      <c r="AH192" s="54"/>
      <c r="AI192" s="54"/>
      <c r="AJ192" s="54"/>
      <c r="AK192" s="54"/>
      <c r="AL192" s="54"/>
      <c r="AM192" s="54" t="b">
        <v>0</v>
      </c>
      <c r="AN192" s="54"/>
      <c r="AO192" s="54"/>
      <c r="AP192" s="54"/>
      <c r="AQ192" s="54"/>
      <c r="AR192" s="54"/>
      <c r="AS192" s="54" t="b">
        <v>0</v>
      </c>
      <c r="AT192" s="54"/>
      <c r="AU192" s="54"/>
      <c r="AV192" s="54"/>
      <c r="AW192" s="54"/>
      <c r="AX192" s="54" t="str">
        <f t="shared" si="55"/>
        <v>ملتزم</v>
      </c>
      <c r="AY192" s="54" t="s">
        <v>77</v>
      </c>
      <c r="AZ192" s="43" t="s">
        <v>107</v>
      </c>
      <c r="BA192" s="55"/>
      <c r="BB192" s="55"/>
      <c r="BC192" s="55"/>
      <c r="BD192" s="54"/>
      <c r="BE192" s="68">
        <v>66010</v>
      </c>
      <c r="BF192" s="54"/>
      <c r="BG192" s="54"/>
      <c r="BH192" s="54"/>
      <c r="BI192" s="54" t="s">
        <v>76</v>
      </c>
      <c r="BJ192" s="54">
        <f>(U192+V192+AE192)-BD192-BE192</f>
        <v>48790</v>
      </c>
      <c r="BK192" s="54" t="s">
        <v>404</v>
      </c>
    </row>
    <row r="193" spans="1:63" ht="34.5" hidden="1" customHeight="1" x14ac:dyDescent="0.25">
      <c r="A193" s="35">
        <f t="shared" si="91"/>
        <v>18</v>
      </c>
      <c r="B193" s="35" t="s">
        <v>406</v>
      </c>
      <c r="C193" s="105"/>
      <c r="D193" s="37" t="s">
        <v>106</v>
      </c>
      <c r="E193" s="81" t="b">
        <v>0</v>
      </c>
      <c r="F193" s="81"/>
      <c r="G193" s="65">
        <v>46022</v>
      </c>
      <c r="H193" s="35">
        <v>1</v>
      </c>
      <c r="I193" s="35">
        <v>320</v>
      </c>
      <c r="J193" s="95" t="s">
        <v>407</v>
      </c>
      <c r="K193" s="81">
        <v>7050102826</v>
      </c>
      <c r="L193" s="81">
        <v>530202170</v>
      </c>
      <c r="M193" s="81">
        <v>106178289</v>
      </c>
      <c r="N193" s="35" t="s">
        <v>73</v>
      </c>
      <c r="O193" s="35" t="s">
        <v>97</v>
      </c>
      <c r="P193" s="35">
        <v>5</v>
      </c>
      <c r="Q193" s="35">
        <v>3.5</v>
      </c>
      <c r="R193" s="35">
        <v>18</v>
      </c>
      <c r="S193" s="44">
        <v>34000</v>
      </c>
      <c r="T193" s="44">
        <v>3400</v>
      </c>
      <c r="U193" s="63">
        <v>37600</v>
      </c>
      <c r="V193" s="106"/>
      <c r="W193" s="106"/>
      <c r="X193" s="45"/>
      <c r="Y193" s="48"/>
      <c r="Z193" s="50"/>
      <c r="AA193" s="50"/>
      <c r="AB193" s="50"/>
      <c r="AC193" s="52"/>
      <c r="AD193" s="52"/>
      <c r="AE193" s="53"/>
      <c r="AF193" s="52" t="b">
        <v>1</v>
      </c>
      <c r="AG193" s="117">
        <v>45698</v>
      </c>
      <c r="AH193" s="52">
        <v>21735</v>
      </c>
      <c r="AI193" s="54" t="s">
        <v>68</v>
      </c>
      <c r="AJ193" s="52" t="s">
        <v>136</v>
      </c>
      <c r="AK193" s="116" t="s">
        <v>408</v>
      </c>
      <c r="AL193" s="116"/>
      <c r="AM193" s="52" t="b">
        <v>0</v>
      </c>
      <c r="AN193" s="126" t="s">
        <v>152</v>
      </c>
      <c r="AO193" s="52">
        <v>21735</v>
      </c>
      <c r="AP193" s="54"/>
      <c r="AQ193" s="54"/>
      <c r="AR193" s="52"/>
      <c r="AS193" s="52" t="b">
        <v>0</v>
      </c>
      <c r="AT193" s="54"/>
      <c r="AU193" s="52"/>
      <c r="AV193" s="52"/>
      <c r="AW193" s="52"/>
      <c r="AX193" s="52"/>
      <c r="AY193" s="54"/>
      <c r="AZ193" s="43" t="s">
        <v>107</v>
      </c>
      <c r="BA193" s="55"/>
      <c r="BB193" s="55"/>
      <c r="BC193" s="55"/>
      <c r="BD193" s="54"/>
      <c r="BE193" s="68">
        <v>21505</v>
      </c>
      <c r="BF193" s="54"/>
      <c r="BG193" s="54"/>
      <c r="BH193" s="54"/>
      <c r="BI193" s="54" t="s">
        <v>76</v>
      </c>
      <c r="BJ193" s="54"/>
      <c r="BK193" s="54"/>
    </row>
    <row r="194" spans="1:63" ht="34.5" hidden="1" customHeight="1" x14ac:dyDescent="0.25">
      <c r="A194" s="35">
        <f t="shared" si="91"/>
        <v>19</v>
      </c>
      <c r="B194" s="35" t="s">
        <v>409</v>
      </c>
      <c r="C194" s="105">
        <v>20611108598</v>
      </c>
      <c r="D194" s="37" t="s">
        <v>106</v>
      </c>
      <c r="E194" s="81" t="b">
        <v>0</v>
      </c>
      <c r="F194" s="81"/>
      <c r="G194" s="113">
        <v>46022</v>
      </c>
      <c r="H194" s="35">
        <v>1</v>
      </c>
      <c r="I194" s="35">
        <v>236</v>
      </c>
      <c r="J194" s="84" t="s">
        <v>410</v>
      </c>
      <c r="K194" s="139">
        <v>7016565934</v>
      </c>
      <c r="L194" s="139">
        <v>557772121</v>
      </c>
      <c r="M194" s="138">
        <v>1091205623</v>
      </c>
      <c r="N194" s="35" t="s">
        <v>73</v>
      </c>
      <c r="O194" s="35" t="s">
        <v>97</v>
      </c>
      <c r="P194" s="35">
        <v>4</v>
      </c>
      <c r="Q194" s="35">
        <v>4</v>
      </c>
      <c r="R194" s="35">
        <f t="shared" ref="R194:R197" si="99">P194*Q194</f>
        <v>16</v>
      </c>
      <c r="S194" s="44">
        <v>34000</v>
      </c>
      <c r="T194" s="44">
        <f t="shared" ref="T194:T195" si="100">S194*10/100</f>
        <v>3400</v>
      </c>
      <c r="U194" s="63">
        <f>S194+T194+200</f>
        <v>37600</v>
      </c>
      <c r="V194" s="44"/>
      <c r="W194" s="44"/>
      <c r="X194" s="115">
        <v>0</v>
      </c>
      <c r="Y194" s="89">
        <f t="shared" ref="Y194:Y228" si="101">X194/1.15</f>
        <v>0</v>
      </c>
      <c r="Z194" s="91">
        <v>0</v>
      </c>
      <c r="AA194" s="91">
        <f t="shared" ref="AA194:AA218" si="102">Z194/1.15</f>
        <v>0</v>
      </c>
      <c r="AB194" s="91">
        <v>0</v>
      </c>
      <c r="AC194" s="54">
        <v>39100</v>
      </c>
      <c r="AD194" s="54">
        <f>S194*1.15-AC194</f>
        <v>0</v>
      </c>
      <c r="AE194" s="53">
        <f>S194*1.15+X194-AB194-AC194</f>
        <v>0</v>
      </c>
      <c r="AF194" s="54" t="b">
        <v>0</v>
      </c>
      <c r="AG194" s="54"/>
      <c r="AH194" s="54"/>
      <c r="AI194" s="54"/>
      <c r="AJ194" s="54"/>
      <c r="AK194" s="54"/>
      <c r="AL194" s="54"/>
      <c r="AM194" s="54" t="b">
        <v>0</v>
      </c>
      <c r="AN194" s="54"/>
      <c r="AO194" s="54"/>
      <c r="AP194" s="54"/>
      <c r="AQ194" s="54"/>
      <c r="AR194" s="54"/>
      <c r="AS194" s="54" t="b">
        <v>0</v>
      </c>
      <c r="AT194" s="54"/>
      <c r="AU194" s="54"/>
      <c r="AV194" s="54"/>
      <c r="AW194" s="54"/>
      <c r="AX194" s="54" t="str">
        <f t="shared" ref="AX194:AX228" si="103">IF(AE194&lt;=0,"ملتزم","غير ملتزم")</f>
        <v>ملتزم</v>
      </c>
      <c r="AY194" s="54" t="s">
        <v>69</v>
      </c>
      <c r="AZ194" s="43" t="s">
        <v>107</v>
      </c>
      <c r="BA194" s="55"/>
      <c r="BB194" s="55"/>
      <c r="BC194" s="55"/>
      <c r="BD194" s="54"/>
      <c r="BE194" s="68">
        <v>10000</v>
      </c>
      <c r="BF194" s="54"/>
      <c r="BG194" s="54"/>
      <c r="BH194" s="54"/>
      <c r="BI194" s="54" t="s">
        <v>72</v>
      </c>
      <c r="BJ194" s="54">
        <f>(U194+V194+AE194)-BD194-BE194</f>
        <v>27600</v>
      </c>
      <c r="BK194" s="54" t="s">
        <v>411</v>
      </c>
    </row>
    <row r="195" spans="1:63" ht="34.5" hidden="1" customHeight="1" x14ac:dyDescent="0.25">
      <c r="A195" s="35">
        <f t="shared" si="91"/>
        <v>20</v>
      </c>
      <c r="B195" s="35" t="s">
        <v>412</v>
      </c>
      <c r="C195" s="105">
        <v>20547920603</v>
      </c>
      <c r="D195" s="37" t="s">
        <v>106</v>
      </c>
      <c r="E195" s="81" t="b">
        <v>0</v>
      </c>
      <c r="F195" s="81"/>
      <c r="G195" s="65">
        <v>46022</v>
      </c>
      <c r="H195" s="35">
        <v>2</v>
      </c>
      <c r="I195" s="125" t="s">
        <v>413</v>
      </c>
      <c r="J195" s="92" t="s">
        <v>414</v>
      </c>
      <c r="K195" s="85">
        <v>7013712828</v>
      </c>
      <c r="L195" s="81">
        <v>505623804</v>
      </c>
      <c r="M195" s="81">
        <v>1133433910</v>
      </c>
      <c r="N195" s="35" t="s">
        <v>73</v>
      </c>
      <c r="O195" s="35" t="s">
        <v>97</v>
      </c>
      <c r="P195" s="35">
        <v>10.65</v>
      </c>
      <c r="Q195" s="35">
        <v>4.6500000000000004</v>
      </c>
      <c r="R195" s="35">
        <f t="shared" si="99"/>
        <v>49.522500000000008</v>
      </c>
      <c r="S195" s="43">
        <v>68000</v>
      </c>
      <c r="T195" s="44">
        <f t="shared" si="100"/>
        <v>6800</v>
      </c>
      <c r="U195" s="63">
        <f>S195+T195</f>
        <v>74800</v>
      </c>
      <c r="V195" s="106"/>
      <c r="W195" s="106"/>
      <c r="X195" s="52"/>
      <c r="Y195" s="48">
        <f t="shared" si="101"/>
        <v>0</v>
      </c>
      <c r="Z195" s="50">
        <v>0</v>
      </c>
      <c r="AA195" s="50">
        <f t="shared" si="102"/>
        <v>0</v>
      </c>
      <c r="AB195" s="50"/>
      <c r="AC195" s="52">
        <v>78200</v>
      </c>
      <c r="AD195" s="52">
        <f>S195*1.15-AC195</f>
        <v>0</v>
      </c>
      <c r="AE195" s="53">
        <f>S195*1.15+X195-AB195-AC195</f>
        <v>0</v>
      </c>
      <c r="AF195" s="52" t="b">
        <v>0</v>
      </c>
      <c r="AG195" s="52"/>
      <c r="AH195" s="52"/>
      <c r="AI195" s="52"/>
      <c r="AJ195" s="52"/>
      <c r="AK195" s="52"/>
      <c r="AL195" s="52"/>
      <c r="AM195" s="52" t="b">
        <v>0</v>
      </c>
      <c r="AN195" s="52"/>
      <c r="AO195" s="52"/>
      <c r="AP195" s="52"/>
      <c r="AQ195" s="52"/>
      <c r="AR195" s="52"/>
      <c r="AS195" s="52" t="b">
        <v>0</v>
      </c>
      <c r="AT195" s="52"/>
      <c r="AU195" s="52"/>
      <c r="AV195" s="52"/>
      <c r="AW195" s="52"/>
      <c r="AX195" s="52" t="str">
        <f t="shared" si="103"/>
        <v>ملتزم</v>
      </c>
      <c r="AY195" s="54" t="s">
        <v>77</v>
      </c>
      <c r="AZ195" s="43" t="s">
        <v>107</v>
      </c>
      <c r="BA195" s="55"/>
      <c r="BB195" s="55"/>
      <c r="BC195" s="55"/>
      <c r="BD195" s="54"/>
      <c r="BE195" s="68">
        <v>43010</v>
      </c>
      <c r="BF195" s="54"/>
      <c r="BG195" s="54"/>
      <c r="BH195" s="54"/>
      <c r="BI195" s="54" t="s">
        <v>112</v>
      </c>
      <c r="BJ195" s="54">
        <f>(U195+V195+AE195)-BD195-BE195</f>
        <v>31790</v>
      </c>
      <c r="BK195" s="54" t="s">
        <v>79</v>
      </c>
    </row>
    <row r="196" spans="1:63" ht="34.5" hidden="1" customHeight="1" x14ac:dyDescent="0.25">
      <c r="A196" s="35">
        <f t="shared" si="91"/>
        <v>21</v>
      </c>
      <c r="B196" s="35" t="s">
        <v>415</v>
      </c>
      <c r="C196" s="105">
        <v>20359721274</v>
      </c>
      <c r="D196" s="37" t="s">
        <v>106</v>
      </c>
      <c r="E196" s="81" t="b">
        <v>0</v>
      </c>
      <c r="F196" s="81"/>
      <c r="G196" s="113">
        <v>46022</v>
      </c>
      <c r="H196" s="35">
        <v>2</v>
      </c>
      <c r="I196" s="35" t="s">
        <v>416</v>
      </c>
      <c r="J196" s="95" t="s">
        <v>361</v>
      </c>
      <c r="K196" s="81">
        <v>7037026619</v>
      </c>
      <c r="L196" s="81">
        <v>565330880</v>
      </c>
      <c r="M196" s="81">
        <v>1096922149</v>
      </c>
      <c r="N196" s="35" t="s">
        <v>73</v>
      </c>
      <c r="O196" s="35" t="s">
        <v>97</v>
      </c>
      <c r="P196" s="35">
        <v>8.1999999999999993</v>
      </c>
      <c r="Q196" s="35">
        <v>4.0999999999999996</v>
      </c>
      <c r="R196" s="35">
        <f t="shared" si="99"/>
        <v>33.619999999999997</v>
      </c>
      <c r="S196" s="44">
        <v>60000</v>
      </c>
      <c r="T196" s="44">
        <f t="shared" ref="T196:T197" si="104">S196*20/100</f>
        <v>12000</v>
      </c>
      <c r="U196" s="63">
        <f t="shared" ref="U196:U197" si="105">S196+T196+200</f>
        <v>72200</v>
      </c>
      <c r="V196" s="44"/>
      <c r="W196" s="44"/>
      <c r="X196" s="115"/>
      <c r="Y196" s="89">
        <f t="shared" si="101"/>
        <v>0</v>
      </c>
      <c r="Z196" s="91"/>
      <c r="AA196" s="91">
        <f t="shared" si="102"/>
        <v>0</v>
      </c>
      <c r="AB196" s="91"/>
      <c r="AC196" s="54">
        <v>69000</v>
      </c>
      <c r="AD196" s="54">
        <v>0</v>
      </c>
      <c r="AE196" s="53">
        <f>S196*1.15+X196-AB196-AC196</f>
        <v>0</v>
      </c>
      <c r="AF196" s="52" t="b">
        <v>1</v>
      </c>
      <c r="AG196" s="117">
        <v>45667</v>
      </c>
      <c r="AH196" s="52">
        <v>38066</v>
      </c>
      <c r="AI196" s="54" t="s">
        <v>68</v>
      </c>
      <c r="AJ196" s="52" t="s">
        <v>136</v>
      </c>
      <c r="AK196" s="116" t="s">
        <v>417</v>
      </c>
      <c r="AL196" s="116"/>
      <c r="AM196" s="52" t="b">
        <v>0</v>
      </c>
      <c r="AN196" s="117">
        <v>45971</v>
      </c>
      <c r="AO196" s="52">
        <v>38066</v>
      </c>
      <c r="AP196" s="54"/>
      <c r="AQ196" s="54"/>
      <c r="AR196" s="52"/>
      <c r="AS196" s="52" t="b">
        <v>0</v>
      </c>
      <c r="AT196" s="118"/>
      <c r="AU196" s="54"/>
      <c r="AV196" s="54"/>
      <c r="AW196" s="54"/>
      <c r="AX196" s="54" t="str">
        <f t="shared" si="103"/>
        <v>ملتزم</v>
      </c>
      <c r="AY196" s="54" t="s">
        <v>192</v>
      </c>
      <c r="AZ196" s="43" t="s">
        <v>107</v>
      </c>
      <c r="BA196" s="55"/>
      <c r="BB196" s="55"/>
      <c r="BC196" s="55"/>
      <c r="BD196" s="54"/>
      <c r="BE196" s="68">
        <v>38066</v>
      </c>
      <c r="BF196" s="54"/>
      <c r="BG196" s="54"/>
      <c r="BH196" s="54"/>
      <c r="BI196" s="54" t="s">
        <v>76</v>
      </c>
      <c r="BJ196" s="54">
        <f>(U196+V196+AE196)-BD196-BE196</f>
        <v>34134</v>
      </c>
      <c r="BK196" s="54" t="s">
        <v>188</v>
      </c>
    </row>
    <row r="197" spans="1:63" ht="34.5" hidden="1" customHeight="1" x14ac:dyDescent="0.25">
      <c r="A197" s="35">
        <f t="shared" si="91"/>
        <v>22</v>
      </c>
      <c r="B197" s="35" t="s">
        <v>418</v>
      </c>
      <c r="C197" s="105">
        <v>20024578818</v>
      </c>
      <c r="D197" s="37" t="s">
        <v>106</v>
      </c>
      <c r="E197" s="81" t="b">
        <v>0</v>
      </c>
      <c r="F197" s="81"/>
      <c r="G197" s="113">
        <v>46022</v>
      </c>
      <c r="H197" s="35">
        <v>2</v>
      </c>
      <c r="I197" s="35" t="s">
        <v>419</v>
      </c>
      <c r="J197" s="95" t="s">
        <v>171</v>
      </c>
      <c r="K197" s="87">
        <v>7008302270</v>
      </c>
      <c r="L197" s="87">
        <v>568576677</v>
      </c>
      <c r="M197" s="81">
        <v>1004081194</v>
      </c>
      <c r="N197" s="35" t="s">
        <v>73</v>
      </c>
      <c r="O197" s="35" t="s">
        <v>97</v>
      </c>
      <c r="P197" s="35">
        <v>8.1999999999999993</v>
      </c>
      <c r="Q197" s="35">
        <v>4.0999999999999996</v>
      </c>
      <c r="R197" s="35">
        <f t="shared" si="99"/>
        <v>33.619999999999997</v>
      </c>
      <c r="S197" s="44">
        <v>60000</v>
      </c>
      <c r="T197" s="44">
        <f t="shared" si="104"/>
        <v>12000</v>
      </c>
      <c r="U197" s="63">
        <f t="shared" si="105"/>
        <v>72200</v>
      </c>
      <c r="V197" s="44"/>
      <c r="W197" s="44"/>
      <c r="X197" s="54">
        <v>0</v>
      </c>
      <c r="Y197" s="89">
        <f t="shared" si="101"/>
        <v>0</v>
      </c>
      <c r="Z197" s="91">
        <v>0</v>
      </c>
      <c r="AA197" s="91">
        <f t="shared" si="102"/>
        <v>0</v>
      </c>
      <c r="AB197" s="91"/>
      <c r="AC197" s="54">
        <v>69000</v>
      </c>
      <c r="AD197" s="54">
        <f>S197*1.15-AC197</f>
        <v>0</v>
      </c>
      <c r="AE197" s="53">
        <f>S197*1.15+X197-AB197-AC197</f>
        <v>0</v>
      </c>
      <c r="AF197" s="52" t="b">
        <v>0</v>
      </c>
      <c r="AG197" s="52"/>
      <c r="AH197" s="52"/>
      <c r="AI197" s="52"/>
      <c r="AJ197" s="52"/>
      <c r="AK197" s="52"/>
      <c r="AL197" s="52"/>
      <c r="AM197" s="52" t="b">
        <v>0</v>
      </c>
      <c r="AN197" s="52"/>
      <c r="AO197" s="52"/>
      <c r="AP197" s="52"/>
      <c r="AQ197" s="52"/>
      <c r="AR197" s="52"/>
      <c r="AS197" s="52" t="b">
        <v>0</v>
      </c>
      <c r="AT197" s="54"/>
      <c r="AU197" s="54"/>
      <c r="AV197" s="54"/>
      <c r="AW197" s="54"/>
      <c r="AX197" s="54" t="str">
        <f t="shared" si="103"/>
        <v>ملتزم</v>
      </c>
      <c r="AY197" s="54" t="s">
        <v>69</v>
      </c>
      <c r="AZ197" s="43" t="s">
        <v>107</v>
      </c>
      <c r="BA197" s="55"/>
      <c r="BB197" s="55"/>
      <c r="BC197" s="55"/>
      <c r="BD197" s="54"/>
      <c r="BE197" s="68">
        <v>62274</v>
      </c>
      <c r="BF197" s="54"/>
      <c r="BG197" s="54"/>
      <c r="BH197" s="54"/>
      <c r="BI197" s="54" t="s">
        <v>76</v>
      </c>
      <c r="BJ197" s="54">
        <f>(U197+V197+AE197)-BD197-BE197</f>
        <v>9926</v>
      </c>
      <c r="BK197" s="54" t="s">
        <v>113</v>
      </c>
    </row>
    <row r="198" spans="1:63" ht="34.5" hidden="1" customHeight="1" x14ac:dyDescent="0.25">
      <c r="A198" s="35">
        <f t="shared" si="91"/>
        <v>23</v>
      </c>
      <c r="B198" s="57" t="s">
        <v>420</v>
      </c>
      <c r="C198" s="57">
        <v>20121899729</v>
      </c>
      <c r="D198" s="37" t="s">
        <v>106</v>
      </c>
      <c r="E198" s="81" t="b">
        <v>0</v>
      </c>
      <c r="F198" s="81"/>
      <c r="G198" s="38">
        <v>46022</v>
      </c>
      <c r="H198" s="42">
        <v>1</v>
      </c>
      <c r="I198" s="42">
        <v>20</v>
      </c>
      <c r="J198" s="59" t="s">
        <v>357</v>
      </c>
      <c r="K198" s="60">
        <v>7014318690</v>
      </c>
      <c r="L198" s="60">
        <v>506649896</v>
      </c>
      <c r="M198" s="61">
        <v>1089007692</v>
      </c>
      <c r="N198" s="35" t="s">
        <v>73</v>
      </c>
      <c r="O198" s="42" t="s">
        <v>74</v>
      </c>
      <c r="P198" s="35"/>
      <c r="Q198" s="35"/>
      <c r="R198" s="35">
        <v>46</v>
      </c>
      <c r="S198" s="62">
        <v>22000</v>
      </c>
      <c r="T198" s="44">
        <f>S198*10/100</f>
        <v>2200</v>
      </c>
      <c r="U198" s="63">
        <f>S198+T198</f>
        <v>24200</v>
      </c>
      <c r="V198" s="64"/>
      <c r="W198" s="64"/>
      <c r="X198" s="51"/>
      <c r="Y198" s="48">
        <f t="shared" si="101"/>
        <v>0</v>
      </c>
      <c r="Z198" s="49">
        <v>0</v>
      </c>
      <c r="AA198" s="50">
        <f t="shared" si="102"/>
        <v>0</v>
      </c>
      <c r="AB198" s="50"/>
      <c r="AC198" s="51">
        <v>25300</v>
      </c>
      <c r="AD198" s="52">
        <f>S198*1.15-AC198</f>
        <v>0</v>
      </c>
      <c r="AE198" s="53">
        <f>S198*1.15+X198-AB198-AC198</f>
        <v>0</v>
      </c>
      <c r="AF198" s="52" t="b">
        <v>0</v>
      </c>
      <c r="AG198" s="52"/>
      <c r="AH198" s="52"/>
      <c r="AI198" s="52"/>
      <c r="AJ198" s="52"/>
      <c r="AK198" s="52"/>
      <c r="AL198" s="52"/>
      <c r="AM198" s="52" t="b">
        <v>0</v>
      </c>
      <c r="AN198" s="52"/>
      <c r="AO198" s="52"/>
      <c r="AP198" s="52"/>
      <c r="AQ198" s="52"/>
      <c r="AR198" s="52"/>
      <c r="AS198" s="52" t="b">
        <v>0</v>
      </c>
      <c r="AT198" s="52"/>
      <c r="AU198" s="52"/>
      <c r="AV198" s="52"/>
      <c r="AW198" s="52"/>
      <c r="AX198" s="52" t="str">
        <f t="shared" si="103"/>
        <v>ملتزم</v>
      </c>
      <c r="AY198" s="52" t="s">
        <v>69</v>
      </c>
      <c r="AZ198" s="43" t="s">
        <v>107</v>
      </c>
      <c r="BA198" s="55"/>
      <c r="BB198" s="55"/>
      <c r="BC198" s="55"/>
      <c r="BD198" s="52"/>
      <c r="BE198" s="68">
        <v>27830</v>
      </c>
      <c r="BF198" s="52"/>
      <c r="BG198" s="52"/>
      <c r="BH198" s="52"/>
      <c r="BI198" s="54" t="s">
        <v>72</v>
      </c>
      <c r="BJ198" s="54">
        <f>(U198+V198+AE198)-BD198-BE198</f>
        <v>-3630</v>
      </c>
      <c r="BK198" s="52" t="s">
        <v>205</v>
      </c>
    </row>
    <row r="199" spans="1:63" ht="34.5" hidden="1" customHeight="1" x14ac:dyDescent="0.25">
      <c r="A199" s="35">
        <f t="shared" si="91"/>
        <v>24</v>
      </c>
      <c r="B199" s="35" t="s">
        <v>421</v>
      </c>
      <c r="C199" s="35">
        <v>20266261235</v>
      </c>
      <c r="D199" s="37" t="s">
        <v>106</v>
      </c>
      <c r="E199" s="81" t="b">
        <v>0</v>
      </c>
      <c r="F199" s="81"/>
      <c r="G199" s="65">
        <v>46022</v>
      </c>
      <c r="H199" s="35">
        <v>1</v>
      </c>
      <c r="I199" s="35">
        <v>101</v>
      </c>
      <c r="J199" s="95" t="s">
        <v>422</v>
      </c>
      <c r="K199" s="87">
        <v>7017864880</v>
      </c>
      <c r="L199" s="87">
        <v>538026459</v>
      </c>
      <c r="M199" s="81">
        <v>1050037793</v>
      </c>
      <c r="N199" s="35" t="s">
        <v>64</v>
      </c>
      <c r="O199" s="42" t="s">
        <v>65</v>
      </c>
      <c r="P199" s="35">
        <v>7.8</v>
      </c>
      <c r="Q199" s="35">
        <v>6.7</v>
      </c>
      <c r="R199" s="35">
        <f t="shared" ref="R199:R221" si="106">P199*Q199</f>
        <v>52.26</v>
      </c>
      <c r="S199" s="43">
        <v>23000</v>
      </c>
      <c r="T199" s="44"/>
      <c r="U199" s="45"/>
      <c r="V199" s="46">
        <v>28000</v>
      </c>
      <c r="W199" s="46"/>
      <c r="X199" s="94">
        <v>0</v>
      </c>
      <c r="Y199" s="89">
        <f t="shared" si="101"/>
        <v>0</v>
      </c>
      <c r="Z199" s="90">
        <v>0</v>
      </c>
      <c r="AA199" s="91">
        <f t="shared" si="102"/>
        <v>0</v>
      </c>
      <c r="AB199" s="91"/>
      <c r="AC199" s="88">
        <v>21528</v>
      </c>
      <c r="AD199" s="54">
        <f>S199*1.15-AC199</f>
        <v>4921.9999999999964</v>
      </c>
      <c r="AE199" s="53">
        <f>S199*1.15+X199-AB199-AC199</f>
        <v>4921.9999999999964</v>
      </c>
      <c r="AF199" s="54" t="b">
        <v>0</v>
      </c>
      <c r="AG199" s="54"/>
      <c r="AH199" s="54"/>
      <c r="AI199" s="54"/>
      <c r="AJ199" s="54"/>
      <c r="AK199" s="54"/>
      <c r="AL199" s="54"/>
      <c r="AM199" s="54" t="b">
        <v>0</v>
      </c>
      <c r="AN199" s="54"/>
      <c r="AO199" s="54"/>
      <c r="AP199" s="54"/>
      <c r="AQ199" s="54"/>
      <c r="AR199" s="54"/>
      <c r="AS199" s="54" t="b">
        <v>0</v>
      </c>
      <c r="AT199" s="54"/>
      <c r="AU199" s="54"/>
      <c r="AV199" s="54"/>
      <c r="AW199" s="54"/>
      <c r="AX199" s="54" t="str">
        <f t="shared" si="103"/>
        <v>غير ملتزم</v>
      </c>
      <c r="AY199" s="54" t="s">
        <v>69</v>
      </c>
      <c r="AZ199" s="43" t="s">
        <v>107</v>
      </c>
      <c r="BA199" s="70"/>
      <c r="BB199" s="70"/>
      <c r="BC199" s="70"/>
      <c r="BD199" s="54"/>
      <c r="BE199" s="54"/>
      <c r="BF199" s="54"/>
      <c r="BG199" s="54"/>
      <c r="BH199" s="54"/>
      <c r="BI199" s="52" t="s">
        <v>72</v>
      </c>
      <c r="BJ199" s="54">
        <f>(U199+V199+AE199)-BD199-BE199</f>
        <v>32922</v>
      </c>
      <c r="BK199" s="54"/>
    </row>
    <row r="200" spans="1:63" ht="34.5" hidden="1" customHeight="1" x14ac:dyDescent="0.25">
      <c r="A200" s="35">
        <f t="shared" si="91"/>
        <v>25</v>
      </c>
      <c r="B200" s="35" t="s">
        <v>423</v>
      </c>
      <c r="C200" s="105">
        <v>20178736091</v>
      </c>
      <c r="D200" s="37" t="s">
        <v>106</v>
      </c>
      <c r="E200" s="81" t="b">
        <v>0</v>
      </c>
      <c r="F200" s="81"/>
      <c r="G200" s="113">
        <v>46022</v>
      </c>
      <c r="H200" s="35">
        <v>2</v>
      </c>
      <c r="I200" s="125" t="s">
        <v>424</v>
      </c>
      <c r="J200" s="95" t="s">
        <v>425</v>
      </c>
      <c r="K200" s="81">
        <v>7011389884</v>
      </c>
      <c r="L200" s="81">
        <v>550555920</v>
      </c>
      <c r="M200" s="81">
        <v>1038946255</v>
      </c>
      <c r="N200" s="35" t="s">
        <v>73</v>
      </c>
      <c r="O200" s="35" t="s">
        <v>97</v>
      </c>
      <c r="P200" s="35">
        <v>8.1999999999999993</v>
      </c>
      <c r="Q200" s="35">
        <v>5.2</v>
      </c>
      <c r="R200" s="35">
        <f t="shared" si="106"/>
        <v>42.64</v>
      </c>
      <c r="S200" s="44">
        <v>64000</v>
      </c>
      <c r="T200" s="44">
        <f t="shared" ref="T200:T201" si="107">S200*20/100</f>
        <v>12800</v>
      </c>
      <c r="U200" s="63">
        <f t="shared" ref="U200:U201" si="108">S200+T200+200</f>
        <v>77000</v>
      </c>
      <c r="V200" s="44"/>
      <c r="W200" s="44"/>
      <c r="X200" s="54">
        <v>0</v>
      </c>
      <c r="Y200" s="89">
        <f t="shared" si="101"/>
        <v>0</v>
      </c>
      <c r="Z200" s="91">
        <v>0</v>
      </c>
      <c r="AA200" s="91">
        <f t="shared" si="102"/>
        <v>0</v>
      </c>
      <c r="AB200" s="91"/>
      <c r="AC200" s="54">
        <v>73600</v>
      </c>
      <c r="AD200" s="54">
        <f>S200*1.15-AC200</f>
        <v>0</v>
      </c>
      <c r="AE200" s="53">
        <f>S200*1.15+X200-AB200-AC200</f>
        <v>0</v>
      </c>
      <c r="AF200" s="54" t="b">
        <v>1</v>
      </c>
      <c r="AG200" s="134">
        <v>45698</v>
      </c>
      <c r="AH200" s="54">
        <v>85100</v>
      </c>
      <c r="AI200" s="54" t="s">
        <v>68</v>
      </c>
      <c r="AJ200" s="52" t="s">
        <v>136</v>
      </c>
      <c r="AK200" s="128" t="s">
        <v>426</v>
      </c>
      <c r="AL200" s="128"/>
      <c r="AM200" s="54" t="b">
        <v>0</v>
      </c>
      <c r="AN200" s="126" t="s">
        <v>152</v>
      </c>
      <c r="AO200" s="54">
        <v>85100</v>
      </c>
      <c r="AP200" s="54"/>
      <c r="AQ200" s="54"/>
      <c r="AR200" s="54"/>
      <c r="AS200" s="54" t="b">
        <v>0</v>
      </c>
      <c r="AT200" s="54"/>
      <c r="AU200" s="54"/>
      <c r="AV200" s="54"/>
      <c r="AW200" s="54"/>
      <c r="AX200" s="54" t="str">
        <f t="shared" si="103"/>
        <v>ملتزم</v>
      </c>
      <c r="AY200" s="54" t="s">
        <v>77</v>
      </c>
      <c r="AZ200" s="43" t="s">
        <v>107</v>
      </c>
      <c r="BA200" s="55"/>
      <c r="BB200" s="55"/>
      <c r="BC200" s="55"/>
      <c r="BD200" s="54"/>
      <c r="BE200" s="68">
        <v>466</v>
      </c>
      <c r="BF200" s="54"/>
      <c r="BG200" s="54"/>
      <c r="BH200" s="54"/>
      <c r="BI200" s="52" t="s">
        <v>76</v>
      </c>
      <c r="BJ200" s="54">
        <f>(U200+V200+AE200)-BD200-BE200</f>
        <v>76534</v>
      </c>
      <c r="BK200" s="54"/>
    </row>
    <row r="201" spans="1:63" ht="34.5" hidden="1" customHeight="1" x14ac:dyDescent="0.25">
      <c r="A201" s="35">
        <f t="shared" si="91"/>
        <v>26</v>
      </c>
      <c r="B201" s="35" t="s">
        <v>423</v>
      </c>
      <c r="C201" s="105">
        <v>20384719455</v>
      </c>
      <c r="D201" s="37" t="s">
        <v>106</v>
      </c>
      <c r="E201" s="81" t="b">
        <v>0</v>
      </c>
      <c r="F201" s="81"/>
      <c r="G201" s="113">
        <v>46022</v>
      </c>
      <c r="H201" s="35">
        <v>2</v>
      </c>
      <c r="I201" s="35" t="s">
        <v>427</v>
      </c>
      <c r="J201" s="95" t="s">
        <v>425</v>
      </c>
      <c r="K201" s="81">
        <v>7011389884</v>
      </c>
      <c r="L201" s="81">
        <v>550555920</v>
      </c>
      <c r="M201" s="81">
        <v>1038946255</v>
      </c>
      <c r="N201" s="35" t="s">
        <v>73</v>
      </c>
      <c r="O201" s="35" t="s">
        <v>97</v>
      </c>
      <c r="P201" s="35">
        <v>8</v>
      </c>
      <c r="Q201" s="35">
        <v>4.7</v>
      </c>
      <c r="R201" s="35">
        <f t="shared" si="106"/>
        <v>37.6</v>
      </c>
      <c r="S201" s="44">
        <v>64000</v>
      </c>
      <c r="T201" s="44">
        <f t="shared" si="107"/>
        <v>12800</v>
      </c>
      <c r="U201" s="63">
        <f t="shared" si="108"/>
        <v>77000</v>
      </c>
      <c r="V201" s="44"/>
      <c r="W201" s="44"/>
      <c r="X201" s="115">
        <v>0</v>
      </c>
      <c r="Y201" s="89">
        <f t="shared" si="101"/>
        <v>0</v>
      </c>
      <c r="Z201" s="91">
        <v>0</v>
      </c>
      <c r="AA201" s="91">
        <f t="shared" si="102"/>
        <v>0</v>
      </c>
      <c r="AB201" s="91">
        <v>0</v>
      </c>
      <c r="AC201" s="54">
        <v>73600</v>
      </c>
      <c r="AD201" s="54">
        <f>S201*1.15-AC201</f>
        <v>0</v>
      </c>
      <c r="AE201" s="53">
        <f>S201*1.15+X201-AB201-AC201</f>
        <v>0</v>
      </c>
      <c r="AF201" s="54" t="b">
        <v>1</v>
      </c>
      <c r="AG201" s="134">
        <v>45698</v>
      </c>
      <c r="AH201" s="54">
        <v>75100</v>
      </c>
      <c r="AI201" s="54" t="s">
        <v>68</v>
      </c>
      <c r="AJ201" s="52" t="s">
        <v>136</v>
      </c>
      <c r="AK201" s="128" t="s">
        <v>426</v>
      </c>
      <c r="AL201" s="128"/>
      <c r="AM201" s="54" t="b">
        <v>0</v>
      </c>
      <c r="AN201" s="126" t="s">
        <v>152</v>
      </c>
      <c r="AO201" s="54">
        <v>75100</v>
      </c>
      <c r="AP201" s="54"/>
      <c r="AQ201" s="54"/>
      <c r="AR201" s="54"/>
      <c r="AS201" s="54" t="b">
        <v>0</v>
      </c>
      <c r="AT201" s="54"/>
      <c r="AU201" s="54"/>
      <c r="AV201" s="54"/>
      <c r="AW201" s="54"/>
      <c r="AX201" s="54" t="str">
        <f t="shared" si="103"/>
        <v>ملتزم</v>
      </c>
      <c r="AY201" s="54" t="s">
        <v>77</v>
      </c>
      <c r="AZ201" s="43" t="s">
        <v>107</v>
      </c>
      <c r="BA201" s="55"/>
      <c r="BB201" s="55"/>
      <c r="BC201" s="55"/>
      <c r="BD201" s="54"/>
      <c r="BE201" s="68"/>
      <c r="BF201" s="54"/>
      <c r="BG201" s="54"/>
      <c r="BH201" s="54"/>
      <c r="BI201" s="52" t="s">
        <v>72</v>
      </c>
      <c r="BJ201" s="54">
        <f>(U201+V201+AE201)-BD201-BE201</f>
        <v>77000</v>
      </c>
      <c r="BK201" s="54"/>
    </row>
    <row r="202" spans="1:63" ht="34.5" hidden="1" customHeight="1" x14ac:dyDescent="0.25">
      <c r="A202" s="35">
        <f t="shared" si="91"/>
        <v>27</v>
      </c>
      <c r="B202" s="131" t="s">
        <v>428</v>
      </c>
      <c r="C202" s="131">
        <v>20629964057</v>
      </c>
      <c r="D202" s="37" t="s">
        <v>106</v>
      </c>
      <c r="E202" s="37" t="b">
        <v>0</v>
      </c>
      <c r="F202" s="37"/>
      <c r="G202" s="151">
        <v>46022</v>
      </c>
      <c r="H202" s="131">
        <v>1</v>
      </c>
      <c r="I202" s="131">
        <v>87</v>
      </c>
      <c r="J202" s="95" t="s">
        <v>429</v>
      </c>
      <c r="K202" s="87">
        <v>7012678731</v>
      </c>
      <c r="L202" s="87">
        <v>500669131</v>
      </c>
      <c r="M202" s="81">
        <v>1019200359</v>
      </c>
      <c r="N202" s="131" t="s">
        <v>64</v>
      </c>
      <c r="O202" s="152" t="s">
        <v>65</v>
      </c>
      <c r="P202" s="131">
        <v>7.8</v>
      </c>
      <c r="Q202" s="131">
        <v>6.7</v>
      </c>
      <c r="R202" s="131">
        <f t="shared" si="106"/>
        <v>52.26</v>
      </c>
      <c r="S202" s="153">
        <v>26000</v>
      </c>
      <c r="T202" s="154"/>
      <c r="U202" s="155"/>
      <c r="V202" s="156">
        <v>33000</v>
      </c>
      <c r="W202" s="156"/>
      <c r="X202" s="88"/>
      <c r="Y202" s="89">
        <f t="shared" si="101"/>
        <v>0</v>
      </c>
      <c r="Z202" s="90">
        <v>0</v>
      </c>
      <c r="AA202" s="91">
        <f t="shared" si="102"/>
        <v>0</v>
      </c>
      <c r="AB202" s="91"/>
      <c r="AC202" s="88">
        <v>29900</v>
      </c>
      <c r="AD202" s="54">
        <f>S202*1.15-AC202</f>
        <v>0</v>
      </c>
      <c r="AE202" s="53">
        <f>S202*1.15+X202-AB202-AC202</f>
        <v>0</v>
      </c>
      <c r="AF202" s="54" t="b">
        <v>0</v>
      </c>
      <c r="AG202" s="54"/>
      <c r="AH202" s="54"/>
      <c r="AI202" s="54"/>
      <c r="AJ202" s="54"/>
      <c r="AK202" s="54"/>
      <c r="AL202" s="54"/>
      <c r="AM202" s="54" t="b">
        <v>0</v>
      </c>
      <c r="AN202" s="54"/>
      <c r="AO202" s="54"/>
      <c r="AP202" s="54"/>
      <c r="AQ202" s="54"/>
      <c r="AR202" s="54"/>
      <c r="AS202" s="54" t="b">
        <v>0</v>
      </c>
      <c r="AT202" s="54"/>
      <c r="AU202" s="54"/>
      <c r="AV202" s="54"/>
      <c r="AW202" s="54"/>
      <c r="AX202" s="54" t="str">
        <f t="shared" si="103"/>
        <v>ملتزم</v>
      </c>
      <c r="AY202" s="157" t="s">
        <v>69</v>
      </c>
      <c r="AZ202" s="43" t="s">
        <v>107</v>
      </c>
      <c r="BA202" s="55"/>
      <c r="BB202" s="55"/>
      <c r="BC202" s="55"/>
      <c r="BD202" s="158"/>
      <c r="BE202" s="158"/>
      <c r="BF202" s="158"/>
      <c r="BG202" s="158"/>
      <c r="BH202" s="158"/>
      <c r="BI202" s="54" t="s">
        <v>72</v>
      </c>
      <c r="BJ202" s="54">
        <f>(U202+V202+AE202)-BD202-BE202</f>
        <v>33000</v>
      </c>
      <c r="BK202" s="158"/>
    </row>
    <row r="203" spans="1:63" ht="34.5" hidden="1" customHeight="1" x14ac:dyDescent="0.25">
      <c r="A203" s="35">
        <f t="shared" si="91"/>
        <v>28</v>
      </c>
      <c r="B203" s="35" t="s">
        <v>430</v>
      </c>
      <c r="C203" s="105">
        <v>20201724798</v>
      </c>
      <c r="D203" s="37" t="s">
        <v>106</v>
      </c>
      <c r="E203" s="81" t="b">
        <v>0</v>
      </c>
      <c r="F203" s="81"/>
      <c r="G203" s="65">
        <v>46022</v>
      </c>
      <c r="H203" s="35">
        <v>2</v>
      </c>
      <c r="I203" s="35" t="s">
        <v>431</v>
      </c>
      <c r="J203" s="84" t="s">
        <v>432</v>
      </c>
      <c r="K203" s="81"/>
      <c r="L203" s="81"/>
      <c r="M203" s="81">
        <v>1019200359</v>
      </c>
      <c r="N203" s="35" t="s">
        <v>73</v>
      </c>
      <c r="O203" s="35" t="s">
        <v>97</v>
      </c>
      <c r="P203" s="35">
        <v>10.6</v>
      </c>
      <c r="Q203" s="35">
        <v>4.6500000000000004</v>
      </c>
      <c r="R203" s="35">
        <f t="shared" si="106"/>
        <v>49.29</v>
      </c>
      <c r="S203" s="43">
        <v>68000</v>
      </c>
      <c r="T203" s="44">
        <f t="shared" ref="T203:T205" si="109">S203*10/100</f>
        <v>6800</v>
      </c>
      <c r="U203" s="63">
        <f t="shared" ref="U203:U207" si="110">S203+T203</f>
        <v>74800</v>
      </c>
      <c r="V203" s="106"/>
      <c r="W203" s="106"/>
      <c r="X203" s="52">
        <v>0</v>
      </c>
      <c r="Y203" s="48">
        <f t="shared" si="101"/>
        <v>0</v>
      </c>
      <c r="Z203" s="50">
        <v>0</v>
      </c>
      <c r="AA203" s="50">
        <f t="shared" si="102"/>
        <v>0</v>
      </c>
      <c r="AB203" s="50"/>
      <c r="AC203" s="52">
        <v>78200</v>
      </c>
      <c r="AD203" s="52">
        <f>S203*1.15-AC203</f>
        <v>0</v>
      </c>
      <c r="AE203" s="53">
        <f>S203*1.15+X203-AB203-AC203</f>
        <v>0</v>
      </c>
      <c r="AF203" s="52" t="b">
        <v>0</v>
      </c>
      <c r="AG203" s="52"/>
      <c r="AH203" s="52"/>
      <c r="AI203" s="52"/>
      <c r="AJ203" s="52"/>
      <c r="AK203" s="52"/>
      <c r="AL203" s="52"/>
      <c r="AM203" s="52" t="b">
        <v>0</v>
      </c>
      <c r="AN203" s="52"/>
      <c r="AO203" s="52"/>
      <c r="AP203" s="52"/>
      <c r="AQ203" s="52"/>
      <c r="AR203" s="52"/>
      <c r="AS203" s="52" t="b">
        <v>0</v>
      </c>
      <c r="AT203" s="52"/>
      <c r="AU203" s="52"/>
      <c r="AV203" s="52"/>
      <c r="AW203" s="52"/>
      <c r="AX203" s="52" t="str">
        <f t="shared" si="103"/>
        <v>ملتزم</v>
      </c>
      <c r="AY203" s="54" t="s">
        <v>69</v>
      </c>
      <c r="AZ203" s="43" t="s">
        <v>107</v>
      </c>
      <c r="BA203" s="55"/>
      <c r="BB203" s="55"/>
      <c r="BC203" s="55"/>
      <c r="BD203" s="54"/>
      <c r="BE203" s="68">
        <v>64686</v>
      </c>
      <c r="BF203" s="54"/>
      <c r="BG203" s="54"/>
      <c r="BH203" s="54"/>
      <c r="BI203" s="54" t="s">
        <v>76</v>
      </c>
      <c r="BJ203" s="54">
        <f>(U203+V203+AE203)-BD203-BE203</f>
        <v>10114</v>
      </c>
      <c r="BK203" s="54" t="s">
        <v>113</v>
      </c>
    </row>
    <row r="204" spans="1:63" ht="34.5" hidden="1" customHeight="1" x14ac:dyDescent="0.25">
      <c r="A204" s="35">
        <f t="shared" si="91"/>
        <v>29</v>
      </c>
      <c r="B204" s="35" t="s">
        <v>433</v>
      </c>
      <c r="C204" s="105">
        <v>20718087650</v>
      </c>
      <c r="D204" s="37" t="s">
        <v>106</v>
      </c>
      <c r="E204" s="81" t="b">
        <v>0</v>
      </c>
      <c r="F204" s="81"/>
      <c r="G204" s="65">
        <v>46022</v>
      </c>
      <c r="H204" s="35">
        <v>2</v>
      </c>
      <c r="I204" s="35" t="s">
        <v>434</v>
      </c>
      <c r="J204" s="95" t="s">
        <v>171</v>
      </c>
      <c r="K204" s="87">
        <v>7017212999</v>
      </c>
      <c r="L204" s="87">
        <v>568576677</v>
      </c>
      <c r="M204" s="81">
        <v>1004081194</v>
      </c>
      <c r="N204" s="35" t="s">
        <v>73</v>
      </c>
      <c r="O204" s="35" t="s">
        <v>97</v>
      </c>
      <c r="P204" s="35">
        <v>10.8</v>
      </c>
      <c r="Q204" s="35">
        <v>3.5</v>
      </c>
      <c r="R204" s="35">
        <f t="shared" si="106"/>
        <v>37.800000000000004</v>
      </c>
      <c r="S204" s="44">
        <v>60000</v>
      </c>
      <c r="T204" s="44">
        <f t="shared" si="109"/>
        <v>6000</v>
      </c>
      <c r="U204" s="63">
        <f t="shared" si="110"/>
        <v>66000</v>
      </c>
      <c r="V204" s="106"/>
      <c r="W204" s="106"/>
      <c r="X204" s="52">
        <v>0</v>
      </c>
      <c r="Y204" s="48">
        <f t="shared" si="101"/>
        <v>0</v>
      </c>
      <c r="Z204" s="50">
        <v>0</v>
      </c>
      <c r="AA204" s="50">
        <f t="shared" si="102"/>
        <v>0</v>
      </c>
      <c r="AB204" s="50"/>
      <c r="AC204" s="52">
        <v>69000</v>
      </c>
      <c r="AD204" s="52">
        <f>S204*1.15-AC204</f>
        <v>0</v>
      </c>
      <c r="AE204" s="53">
        <f>S204*1.15+X204-AB204-AC204</f>
        <v>0</v>
      </c>
      <c r="AF204" s="52" t="b">
        <v>0</v>
      </c>
      <c r="AG204" s="52"/>
      <c r="AH204" s="52"/>
      <c r="AI204" s="52"/>
      <c r="AJ204" s="52"/>
      <c r="AK204" s="52"/>
      <c r="AL204" s="52"/>
      <c r="AM204" s="52" t="b">
        <v>0</v>
      </c>
      <c r="AN204" s="52"/>
      <c r="AO204" s="52"/>
      <c r="AP204" s="52"/>
      <c r="AQ204" s="52"/>
      <c r="AR204" s="52"/>
      <c r="AS204" s="52" t="b">
        <v>0</v>
      </c>
      <c r="AT204" s="52"/>
      <c r="AU204" s="52"/>
      <c r="AV204" s="52"/>
      <c r="AW204" s="52"/>
      <c r="AX204" s="52" t="str">
        <f t="shared" si="103"/>
        <v>ملتزم</v>
      </c>
      <c r="AY204" s="54" t="s">
        <v>69</v>
      </c>
      <c r="AZ204" s="43" t="s">
        <v>107</v>
      </c>
      <c r="BA204" s="55"/>
      <c r="BB204" s="55"/>
      <c r="BC204" s="55"/>
      <c r="BD204" s="54"/>
      <c r="BE204" s="68">
        <v>57099</v>
      </c>
      <c r="BF204" s="54"/>
      <c r="BG204" s="54"/>
      <c r="BH204" s="54"/>
      <c r="BI204" s="54" t="s">
        <v>76</v>
      </c>
      <c r="BJ204" s="54">
        <f>(U204+V204+AE204)-BD204-BE204</f>
        <v>8901</v>
      </c>
      <c r="BK204" s="54" t="s">
        <v>113</v>
      </c>
    </row>
    <row r="205" spans="1:63" ht="34.5" hidden="1" customHeight="1" x14ac:dyDescent="0.25">
      <c r="A205" s="35">
        <f t="shared" si="91"/>
        <v>30</v>
      </c>
      <c r="B205" s="35" t="s">
        <v>435</v>
      </c>
      <c r="C205" s="105"/>
      <c r="D205" s="81" t="s">
        <v>94</v>
      </c>
      <c r="E205" s="81" t="b">
        <v>0</v>
      </c>
      <c r="F205" s="81"/>
      <c r="G205" s="65"/>
      <c r="H205" s="35">
        <v>2</v>
      </c>
      <c r="I205" s="35" t="s">
        <v>436</v>
      </c>
      <c r="J205" s="84" t="s">
        <v>437</v>
      </c>
      <c r="K205" s="81">
        <v>4030168365</v>
      </c>
      <c r="L205" s="81">
        <v>555660815</v>
      </c>
      <c r="M205" s="81">
        <v>1000223840</v>
      </c>
      <c r="N205" s="35" t="s">
        <v>73</v>
      </c>
      <c r="O205" s="35" t="s">
        <v>97</v>
      </c>
      <c r="P205" s="35">
        <v>10.6</v>
      </c>
      <c r="Q205" s="35">
        <v>4.6500000000000004</v>
      </c>
      <c r="R205" s="35">
        <f t="shared" si="106"/>
        <v>49.29</v>
      </c>
      <c r="S205" s="43">
        <v>68000</v>
      </c>
      <c r="T205" s="44">
        <f t="shared" si="109"/>
        <v>6800</v>
      </c>
      <c r="U205" s="63">
        <f t="shared" si="110"/>
        <v>74800</v>
      </c>
      <c r="V205" s="106"/>
      <c r="W205" s="106"/>
      <c r="X205" s="45">
        <v>250540</v>
      </c>
      <c r="Y205" s="48">
        <f t="shared" si="101"/>
        <v>217860.86956521741</v>
      </c>
      <c r="Z205" s="50">
        <v>0</v>
      </c>
      <c r="AA205" s="50">
        <f t="shared" si="102"/>
        <v>0</v>
      </c>
      <c r="AB205" s="50"/>
      <c r="AC205" s="52">
        <v>30000</v>
      </c>
      <c r="AD205" s="52">
        <f>S205*1.15-AC205</f>
        <v>48200</v>
      </c>
      <c r="AE205" s="43">
        <f>S205*1.15+X205-AB205-AC205</f>
        <v>298740</v>
      </c>
      <c r="AF205" s="52" t="b">
        <v>0</v>
      </c>
      <c r="AG205" s="52"/>
      <c r="AH205" s="52"/>
      <c r="AI205" s="52"/>
      <c r="AJ205" s="52"/>
      <c r="AK205" s="52"/>
      <c r="AL205" s="52"/>
      <c r="AM205" s="52" t="b">
        <v>0</v>
      </c>
      <c r="AN205" s="52"/>
      <c r="AO205" s="52"/>
      <c r="AP205" s="52"/>
      <c r="AQ205" s="52"/>
      <c r="AR205" s="52"/>
      <c r="AS205" s="52" t="b">
        <v>0</v>
      </c>
      <c r="AT205" s="52"/>
      <c r="AU205" s="52"/>
      <c r="AV205" s="52"/>
      <c r="AW205" s="52" t="s">
        <v>246</v>
      </c>
      <c r="AX205" s="52" t="str">
        <f t="shared" si="103"/>
        <v>غير ملتزم</v>
      </c>
      <c r="AY205" s="54" t="s">
        <v>102</v>
      </c>
      <c r="AZ205" s="43" t="s">
        <v>103</v>
      </c>
      <c r="BA205" s="107" t="s">
        <v>98</v>
      </c>
      <c r="BB205" s="107"/>
      <c r="BC205" s="107"/>
      <c r="BD205" s="54"/>
      <c r="BE205" s="68">
        <v>0</v>
      </c>
      <c r="BF205" s="54"/>
      <c r="BG205" s="54"/>
      <c r="BH205" s="54"/>
      <c r="BI205" s="54"/>
      <c r="BJ205" s="54">
        <f>(U205+V205+AE205)-BD205-BE205</f>
        <v>373540</v>
      </c>
      <c r="BK205" s="54"/>
    </row>
    <row r="206" spans="1:63" ht="34.5" hidden="1" customHeight="1" x14ac:dyDescent="0.25">
      <c r="A206" s="35">
        <f t="shared" si="91"/>
        <v>31</v>
      </c>
      <c r="B206" s="35" t="s">
        <v>438</v>
      </c>
      <c r="C206" s="108"/>
      <c r="D206" s="37" t="s">
        <v>106</v>
      </c>
      <c r="E206" s="37" t="b">
        <v>0</v>
      </c>
      <c r="F206" s="37"/>
      <c r="G206" s="65">
        <v>46022</v>
      </c>
      <c r="H206" s="35">
        <v>1</v>
      </c>
      <c r="I206" s="35">
        <v>11</v>
      </c>
      <c r="J206" s="95" t="s">
        <v>439</v>
      </c>
      <c r="K206" s="81"/>
      <c r="L206" s="81"/>
      <c r="M206" s="81">
        <v>1038446074</v>
      </c>
      <c r="N206" s="35" t="s">
        <v>64</v>
      </c>
      <c r="O206" s="42" t="s">
        <v>97</v>
      </c>
      <c r="P206" s="35">
        <v>8.74</v>
      </c>
      <c r="Q206" s="35">
        <v>5.9</v>
      </c>
      <c r="R206" s="35">
        <f t="shared" si="106"/>
        <v>51.566000000000003</v>
      </c>
      <c r="S206" s="43">
        <v>66000</v>
      </c>
      <c r="T206" s="44">
        <f>S206*20/100</f>
        <v>13200</v>
      </c>
      <c r="U206" s="63">
        <f t="shared" si="110"/>
        <v>79200</v>
      </c>
      <c r="V206" s="106"/>
      <c r="W206" s="106"/>
      <c r="X206" s="52">
        <v>0</v>
      </c>
      <c r="Y206" s="48">
        <f t="shared" si="101"/>
        <v>0</v>
      </c>
      <c r="Z206" s="69">
        <v>0</v>
      </c>
      <c r="AA206" s="50">
        <f t="shared" si="102"/>
        <v>0</v>
      </c>
      <c r="AB206" s="50"/>
      <c r="AC206" s="52">
        <v>75900</v>
      </c>
      <c r="AD206" s="52">
        <f>S206*1.15-AC206</f>
        <v>0</v>
      </c>
      <c r="AE206" s="52">
        <f>S206*1.15+X206-AB206-AC206</f>
        <v>0</v>
      </c>
      <c r="AF206" s="52" t="b">
        <v>0</v>
      </c>
      <c r="AG206" s="52"/>
      <c r="AH206" s="52"/>
      <c r="AI206" s="52"/>
      <c r="AJ206" s="52"/>
      <c r="AK206" s="52"/>
      <c r="AL206" s="52"/>
      <c r="AM206" s="52" t="b">
        <v>0</v>
      </c>
      <c r="AN206" s="52"/>
      <c r="AO206" s="52"/>
      <c r="AP206" s="52"/>
      <c r="AQ206" s="52"/>
      <c r="AR206" s="52"/>
      <c r="AS206" s="52" t="b">
        <v>0</v>
      </c>
      <c r="AT206" s="52"/>
      <c r="AU206" s="52"/>
      <c r="AV206" s="52"/>
      <c r="AW206" s="52"/>
      <c r="AX206" s="52" t="str">
        <f t="shared" si="103"/>
        <v>ملتزم</v>
      </c>
      <c r="AY206" s="54" t="s">
        <v>69</v>
      </c>
      <c r="AZ206" s="43" t="s">
        <v>107</v>
      </c>
      <c r="BA206" s="55"/>
      <c r="BB206" s="55"/>
      <c r="BC206" s="55"/>
      <c r="BD206" s="54"/>
      <c r="BE206" s="68">
        <v>45654</v>
      </c>
      <c r="BF206" s="54"/>
      <c r="BG206" s="54"/>
      <c r="BH206" s="54"/>
      <c r="BI206" s="54" t="s">
        <v>112</v>
      </c>
      <c r="BJ206" s="54">
        <f>(U206+V206+AE206)-BD206-BE206</f>
        <v>33546</v>
      </c>
      <c r="BK206" s="54" t="s">
        <v>113</v>
      </c>
    </row>
    <row r="207" spans="1:63" ht="34.5" hidden="1" customHeight="1" x14ac:dyDescent="0.25">
      <c r="A207" s="35">
        <f t="shared" si="91"/>
        <v>32</v>
      </c>
      <c r="B207" s="35" t="s">
        <v>440</v>
      </c>
      <c r="C207" s="108"/>
      <c r="D207" s="37" t="s">
        <v>106</v>
      </c>
      <c r="E207" s="37" t="b">
        <v>0</v>
      </c>
      <c r="F207" s="37"/>
      <c r="G207" s="65">
        <v>46022</v>
      </c>
      <c r="H207" s="35">
        <v>1</v>
      </c>
      <c r="I207" s="35">
        <v>51</v>
      </c>
      <c r="J207" s="95">
        <v>32128</v>
      </c>
      <c r="K207" s="81">
        <v>7033035481</v>
      </c>
      <c r="L207" s="81">
        <v>535607251</v>
      </c>
      <c r="M207" s="81">
        <v>2572174353</v>
      </c>
      <c r="N207" s="35" t="s">
        <v>64</v>
      </c>
      <c r="O207" s="42" t="s">
        <v>97</v>
      </c>
      <c r="P207" s="35">
        <v>7</v>
      </c>
      <c r="Q207" s="35">
        <v>4</v>
      </c>
      <c r="R207" s="35">
        <f t="shared" si="106"/>
        <v>28</v>
      </c>
      <c r="S207" s="43">
        <v>32000</v>
      </c>
      <c r="T207" s="44">
        <f>S207*10/100</f>
        <v>3200</v>
      </c>
      <c r="U207" s="63">
        <f t="shared" si="110"/>
        <v>35200</v>
      </c>
      <c r="V207" s="140"/>
      <c r="W207" s="140"/>
      <c r="X207" s="52"/>
      <c r="Y207" s="48">
        <f t="shared" si="101"/>
        <v>0</v>
      </c>
      <c r="Z207" s="69">
        <v>0</v>
      </c>
      <c r="AA207" s="50">
        <f t="shared" si="102"/>
        <v>0</v>
      </c>
      <c r="AB207" s="50"/>
      <c r="AC207" s="52">
        <v>36800</v>
      </c>
      <c r="AD207" s="52">
        <f>S207*1.15-AC207</f>
        <v>0</v>
      </c>
      <c r="AE207" s="53">
        <f>S207*1.15+X207-AB207-AC207</f>
        <v>0</v>
      </c>
      <c r="AF207" s="52" t="b">
        <v>0</v>
      </c>
      <c r="AG207" s="52"/>
      <c r="AH207" s="52"/>
      <c r="AI207" s="52"/>
      <c r="AJ207" s="52"/>
      <c r="AK207" s="52"/>
      <c r="AL207" s="52"/>
      <c r="AM207" s="52" t="b">
        <v>0</v>
      </c>
      <c r="AN207" s="52"/>
      <c r="AO207" s="52"/>
      <c r="AP207" s="52"/>
      <c r="AQ207" s="52"/>
      <c r="AR207" s="52"/>
      <c r="AS207" s="52" t="b">
        <v>0</v>
      </c>
      <c r="AT207" s="52"/>
      <c r="AU207" s="52"/>
      <c r="AV207" s="52"/>
      <c r="AW207" s="52"/>
      <c r="AX207" s="52" t="str">
        <f t="shared" si="103"/>
        <v>ملتزم</v>
      </c>
      <c r="AY207" s="54" t="s">
        <v>77</v>
      </c>
      <c r="AZ207" s="43" t="s">
        <v>107</v>
      </c>
      <c r="BA207" s="70"/>
      <c r="BB207" s="70"/>
      <c r="BC207" s="70"/>
      <c r="BD207" s="54"/>
      <c r="BE207" s="68">
        <v>18493</v>
      </c>
      <c r="BF207" s="54"/>
      <c r="BG207" s="54"/>
      <c r="BH207" s="54"/>
      <c r="BI207" s="54" t="s">
        <v>76</v>
      </c>
      <c r="BJ207" s="54">
        <f>(U207+V207+AE207)-BD207-BE207</f>
        <v>16707</v>
      </c>
      <c r="BK207" s="54" t="s">
        <v>441</v>
      </c>
    </row>
    <row r="208" spans="1:63" ht="34.5" hidden="1" customHeight="1" x14ac:dyDescent="0.25">
      <c r="A208" s="35">
        <f t="shared" si="91"/>
        <v>33</v>
      </c>
      <c r="B208" s="35" t="s">
        <v>442</v>
      </c>
      <c r="C208" s="105">
        <v>20981563249</v>
      </c>
      <c r="D208" s="37" t="s">
        <v>106</v>
      </c>
      <c r="E208" s="81" t="b">
        <v>0</v>
      </c>
      <c r="F208" s="81"/>
      <c r="G208" s="65">
        <v>46022</v>
      </c>
      <c r="H208" s="35">
        <v>3</v>
      </c>
      <c r="I208" s="35" t="s">
        <v>443</v>
      </c>
      <c r="J208" s="95" t="s">
        <v>444</v>
      </c>
      <c r="K208" s="81">
        <v>7038304502</v>
      </c>
      <c r="L208" s="81">
        <v>503663775</v>
      </c>
      <c r="M208" s="81">
        <v>1021818495</v>
      </c>
      <c r="N208" s="35" t="s">
        <v>73</v>
      </c>
      <c r="O208" s="35" t="s">
        <v>97</v>
      </c>
      <c r="P208" s="35">
        <v>12</v>
      </c>
      <c r="Q208" s="35">
        <v>6.2</v>
      </c>
      <c r="R208" s="35">
        <f t="shared" si="106"/>
        <v>74.400000000000006</v>
      </c>
      <c r="S208" s="43">
        <v>90000</v>
      </c>
      <c r="T208" s="44">
        <f t="shared" ref="T208:T209" si="111">S208*20/100</f>
        <v>18000</v>
      </c>
      <c r="U208" s="63">
        <v>102200</v>
      </c>
      <c r="V208" s="106"/>
      <c r="W208" s="106"/>
      <c r="X208" s="52"/>
      <c r="Y208" s="48">
        <f t="shared" si="101"/>
        <v>0</v>
      </c>
      <c r="Z208" s="50">
        <v>0</v>
      </c>
      <c r="AA208" s="50">
        <f t="shared" si="102"/>
        <v>0</v>
      </c>
      <c r="AB208" s="50">
        <v>0</v>
      </c>
      <c r="AC208" s="52">
        <v>103500</v>
      </c>
      <c r="AD208" s="52">
        <f>S208*1.15-AC208</f>
        <v>0</v>
      </c>
      <c r="AE208" s="53">
        <f>S208*1.15+X208-AB208-AC208</f>
        <v>0</v>
      </c>
      <c r="AF208" s="52" t="b">
        <v>0</v>
      </c>
      <c r="AG208" s="52"/>
      <c r="AH208" s="52"/>
      <c r="AI208" s="52"/>
      <c r="AJ208" s="52"/>
      <c r="AK208" s="52"/>
      <c r="AL208" s="52"/>
      <c r="AM208" s="52" t="b">
        <v>0</v>
      </c>
      <c r="AN208" s="52"/>
      <c r="AO208" s="52"/>
      <c r="AP208" s="52"/>
      <c r="AQ208" s="52"/>
      <c r="AR208" s="52"/>
      <c r="AS208" s="52" t="b">
        <v>0</v>
      </c>
      <c r="AT208" s="52"/>
      <c r="AU208" s="52"/>
      <c r="AV208" s="52"/>
      <c r="AW208" s="52"/>
      <c r="AX208" s="52" t="str">
        <f t="shared" si="103"/>
        <v>ملتزم</v>
      </c>
      <c r="AY208" s="54" t="s">
        <v>77</v>
      </c>
      <c r="AZ208" s="43" t="s">
        <v>107</v>
      </c>
      <c r="BA208" s="55"/>
      <c r="BB208" s="55"/>
      <c r="BC208" s="55"/>
      <c r="BD208" s="54"/>
      <c r="BE208" s="68">
        <v>58764</v>
      </c>
      <c r="BF208" s="54"/>
      <c r="BG208" s="54"/>
      <c r="BH208" s="54"/>
      <c r="BI208" s="54" t="s">
        <v>76</v>
      </c>
      <c r="BJ208" s="54">
        <f>(U208+V208+AE208)-BD208-BE208</f>
        <v>43436</v>
      </c>
      <c r="BK208" s="54"/>
    </row>
    <row r="209" spans="1:63" ht="34.5" hidden="1" customHeight="1" x14ac:dyDescent="0.25">
      <c r="A209" s="35">
        <f>1+A207</f>
        <v>33</v>
      </c>
      <c r="B209" s="35" t="s">
        <v>445</v>
      </c>
      <c r="C209" s="105">
        <v>20695005235</v>
      </c>
      <c r="D209" s="37" t="s">
        <v>106</v>
      </c>
      <c r="E209" s="81" t="b">
        <v>0</v>
      </c>
      <c r="F209" s="81"/>
      <c r="G209" s="113">
        <v>46022</v>
      </c>
      <c r="H209" s="35">
        <v>1</v>
      </c>
      <c r="I209" s="125">
        <v>219</v>
      </c>
      <c r="J209" s="81" t="s">
        <v>446</v>
      </c>
      <c r="K209" s="87">
        <v>7008066776</v>
      </c>
      <c r="L209" s="87">
        <v>539785649</v>
      </c>
      <c r="M209" s="114">
        <v>2550179432</v>
      </c>
      <c r="N209" s="35" t="s">
        <v>73</v>
      </c>
      <c r="O209" s="35" t="s">
        <v>97</v>
      </c>
      <c r="P209" s="35">
        <v>3.65</v>
      </c>
      <c r="Q209" s="35">
        <v>4.1500000000000004</v>
      </c>
      <c r="R209" s="35">
        <f t="shared" si="106"/>
        <v>15.147500000000001</v>
      </c>
      <c r="S209" s="44">
        <v>34000</v>
      </c>
      <c r="T209" s="44">
        <f t="shared" si="111"/>
        <v>6800</v>
      </c>
      <c r="U209" s="63">
        <f t="shared" ref="U209:U210" si="112">S209+T209+200</f>
        <v>41000</v>
      </c>
      <c r="V209" s="44"/>
      <c r="W209" s="44"/>
      <c r="X209" s="54">
        <v>0</v>
      </c>
      <c r="Y209" s="89">
        <f t="shared" si="101"/>
        <v>0</v>
      </c>
      <c r="Z209" s="91">
        <v>0</v>
      </c>
      <c r="AA209" s="91">
        <f t="shared" si="102"/>
        <v>0</v>
      </c>
      <c r="AB209" s="91"/>
      <c r="AC209" s="54">
        <v>39100</v>
      </c>
      <c r="AD209" s="54">
        <f>S209*1.15-AC209</f>
        <v>0</v>
      </c>
      <c r="AE209" s="53">
        <f>S209*1.15+X209-AB209-AC209</f>
        <v>0</v>
      </c>
      <c r="AF209" s="54" t="b">
        <v>0</v>
      </c>
      <c r="AG209" s="54"/>
      <c r="AH209" s="54"/>
      <c r="AI209" s="54"/>
      <c r="AJ209" s="54"/>
      <c r="AK209" s="54"/>
      <c r="AL209" s="54"/>
      <c r="AM209" s="54" t="b">
        <v>0</v>
      </c>
      <c r="AN209" s="54"/>
      <c r="AO209" s="54"/>
      <c r="AP209" s="54"/>
      <c r="AQ209" s="54"/>
      <c r="AR209" s="54"/>
      <c r="AS209" s="54" t="b">
        <v>0</v>
      </c>
      <c r="AT209" s="54"/>
      <c r="AU209" s="54"/>
      <c r="AV209" s="54"/>
      <c r="AW209" s="54"/>
      <c r="AX209" s="54" t="str">
        <f t="shared" si="103"/>
        <v>ملتزم</v>
      </c>
      <c r="AY209" s="54" t="s">
        <v>69</v>
      </c>
      <c r="AZ209" s="43" t="s">
        <v>107</v>
      </c>
      <c r="BA209" s="55"/>
      <c r="BB209" s="55"/>
      <c r="BC209" s="55"/>
      <c r="BD209" s="54"/>
      <c r="BE209" s="68">
        <v>35190</v>
      </c>
      <c r="BF209" s="54"/>
      <c r="BG209" s="54"/>
      <c r="BH209" s="54"/>
      <c r="BI209" s="54" t="s">
        <v>72</v>
      </c>
      <c r="BJ209" s="54">
        <f>(U209+V209+AE209)-BD209-BE209</f>
        <v>5810</v>
      </c>
      <c r="BK209" s="54" t="s">
        <v>113</v>
      </c>
    </row>
    <row r="210" spans="1:63" ht="34.5" hidden="1" customHeight="1" x14ac:dyDescent="0.25">
      <c r="A210" s="35">
        <f t="shared" ref="A210:A230" si="113">1+A209</f>
        <v>34</v>
      </c>
      <c r="B210" s="35" t="s">
        <v>445</v>
      </c>
      <c r="C210" s="105"/>
      <c r="D210" s="37" t="s">
        <v>106</v>
      </c>
      <c r="E210" s="81" t="b">
        <v>0</v>
      </c>
      <c r="F210" s="81"/>
      <c r="G210" s="113">
        <v>46022</v>
      </c>
      <c r="H210" s="35">
        <v>2</v>
      </c>
      <c r="I210" s="125" t="s">
        <v>447</v>
      </c>
      <c r="J210" s="81" t="s">
        <v>446</v>
      </c>
      <c r="K210" s="87">
        <v>7008066776</v>
      </c>
      <c r="L210" s="87">
        <v>539785649</v>
      </c>
      <c r="M210" s="114">
        <v>2550179432</v>
      </c>
      <c r="N210" s="35" t="s">
        <v>73</v>
      </c>
      <c r="O210" s="35" t="s">
        <v>97</v>
      </c>
      <c r="P210" s="35">
        <v>8.6</v>
      </c>
      <c r="Q210" s="35">
        <v>4</v>
      </c>
      <c r="R210" s="35">
        <f t="shared" si="106"/>
        <v>34.4</v>
      </c>
      <c r="S210" s="44">
        <v>64000</v>
      </c>
      <c r="T210" s="44">
        <f t="shared" ref="T210:T213" si="114">S210*10/100</f>
        <v>6400</v>
      </c>
      <c r="U210" s="63">
        <f t="shared" si="112"/>
        <v>70600</v>
      </c>
      <c r="V210" s="148"/>
      <c r="W210" s="148"/>
      <c r="X210" s="54">
        <v>0</v>
      </c>
      <c r="Y210" s="89">
        <f t="shared" si="101"/>
        <v>0</v>
      </c>
      <c r="Z210" s="91">
        <v>0</v>
      </c>
      <c r="AA210" s="91">
        <f t="shared" si="102"/>
        <v>0</v>
      </c>
      <c r="AB210" s="91"/>
      <c r="AC210" s="54">
        <v>73600</v>
      </c>
      <c r="AD210" s="54">
        <f>S210*1.15-AC210</f>
        <v>0</v>
      </c>
      <c r="AE210" s="53">
        <f>S210*1.15+X210-AB210-AC210</f>
        <v>0</v>
      </c>
      <c r="AF210" s="54" t="b">
        <v>0</v>
      </c>
      <c r="AG210" s="54"/>
      <c r="AH210" s="54"/>
      <c r="AI210" s="54"/>
      <c r="AJ210" s="54"/>
      <c r="AK210" s="54"/>
      <c r="AL210" s="54"/>
      <c r="AM210" s="54" t="b">
        <v>0</v>
      </c>
      <c r="AN210" s="54"/>
      <c r="AO210" s="54"/>
      <c r="AP210" s="54"/>
      <c r="AQ210" s="54"/>
      <c r="AR210" s="54"/>
      <c r="AS210" s="54" t="b">
        <v>0</v>
      </c>
      <c r="AT210" s="54"/>
      <c r="AU210" s="54"/>
      <c r="AV210" s="54"/>
      <c r="AW210" s="54"/>
      <c r="AX210" s="54" t="str">
        <f t="shared" si="103"/>
        <v>ملتزم</v>
      </c>
      <c r="AY210" s="54" t="s">
        <v>69</v>
      </c>
      <c r="AZ210" s="43" t="s">
        <v>107</v>
      </c>
      <c r="BA210" s="55"/>
      <c r="BB210" s="55"/>
      <c r="BC210" s="55"/>
      <c r="BD210" s="54"/>
      <c r="BE210" s="68">
        <v>60720</v>
      </c>
      <c r="BF210" s="54"/>
      <c r="BG210" s="54"/>
      <c r="BH210" s="54"/>
      <c r="BI210" s="54" t="s">
        <v>72</v>
      </c>
      <c r="BJ210" s="54">
        <f>(U210+V210+AE210)-BD210-BE210</f>
        <v>9880</v>
      </c>
      <c r="BK210" s="54" t="s">
        <v>113</v>
      </c>
    </row>
    <row r="211" spans="1:63" ht="34.5" hidden="1" customHeight="1" x14ac:dyDescent="0.25">
      <c r="A211" s="35">
        <f t="shared" si="113"/>
        <v>35</v>
      </c>
      <c r="B211" s="35" t="s">
        <v>448</v>
      </c>
      <c r="C211" s="105">
        <v>20342138868</v>
      </c>
      <c r="D211" s="37" t="s">
        <v>106</v>
      </c>
      <c r="E211" s="37" t="b">
        <v>0</v>
      </c>
      <c r="F211" s="37"/>
      <c r="G211" s="65">
        <v>46022</v>
      </c>
      <c r="H211" s="35">
        <v>1</v>
      </c>
      <c r="I211" s="35">
        <v>421</v>
      </c>
      <c r="J211" s="95" t="s">
        <v>449</v>
      </c>
      <c r="K211" s="81">
        <v>4030454280</v>
      </c>
      <c r="L211" s="81">
        <v>535511394</v>
      </c>
      <c r="M211" s="81">
        <v>1131896993</v>
      </c>
      <c r="N211" s="35" t="s">
        <v>73</v>
      </c>
      <c r="O211" s="35" t="s">
        <v>97</v>
      </c>
      <c r="P211" s="35">
        <v>5.0999999999999996</v>
      </c>
      <c r="Q211" s="35">
        <v>3.8</v>
      </c>
      <c r="R211" s="35">
        <f t="shared" si="106"/>
        <v>19.38</v>
      </c>
      <c r="S211" s="43">
        <v>34000</v>
      </c>
      <c r="T211" s="44">
        <f t="shared" si="114"/>
        <v>3400</v>
      </c>
      <c r="U211" s="63">
        <f t="shared" ref="U211:U213" si="115">S211+T211</f>
        <v>37400</v>
      </c>
      <c r="V211" s="106"/>
      <c r="W211" s="106"/>
      <c r="X211" s="45"/>
      <c r="Y211" s="48">
        <f t="shared" si="101"/>
        <v>0</v>
      </c>
      <c r="Z211" s="50">
        <v>0</v>
      </c>
      <c r="AA211" s="50">
        <f t="shared" si="102"/>
        <v>0</v>
      </c>
      <c r="AB211" s="50"/>
      <c r="AC211" s="52">
        <v>39100</v>
      </c>
      <c r="AD211" s="52">
        <f>S211*1.15-AC211</f>
        <v>0</v>
      </c>
      <c r="AE211" s="53">
        <f>S211*1.15+X211-AB211-AC211</f>
        <v>0</v>
      </c>
      <c r="AF211" s="52" t="b">
        <v>0</v>
      </c>
      <c r="AG211" s="52"/>
      <c r="AH211" s="52"/>
      <c r="AI211" s="52"/>
      <c r="AJ211" s="52"/>
      <c r="AK211" s="52"/>
      <c r="AL211" s="52"/>
      <c r="AM211" s="52" t="b">
        <v>0</v>
      </c>
      <c r="AN211" s="52"/>
      <c r="AO211" s="52"/>
      <c r="AP211" s="52"/>
      <c r="AQ211" s="52"/>
      <c r="AR211" s="52"/>
      <c r="AS211" s="52" t="b">
        <v>0</v>
      </c>
      <c r="AT211" s="52"/>
      <c r="AU211" s="52"/>
      <c r="AV211" s="52"/>
      <c r="AW211" s="52"/>
      <c r="AX211" s="52" t="str">
        <f t="shared" si="103"/>
        <v>ملتزم</v>
      </c>
      <c r="AY211" s="54" t="s">
        <v>77</v>
      </c>
      <c r="AZ211" s="43" t="s">
        <v>107</v>
      </c>
      <c r="BA211" s="55"/>
      <c r="BB211" s="55"/>
      <c r="BC211" s="55"/>
      <c r="BD211" s="54"/>
      <c r="BE211" s="68">
        <v>3585</v>
      </c>
      <c r="BF211" s="54"/>
      <c r="BG211" s="54"/>
      <c r="BH211" s="54"/>
      <c r="BI211" s="54" t="s">
        <v>72</v>
      </c>
      <c r="BJ211" s="54">
        <f>(U211+V211+AE211)-BD211-BE211</f>
        <v>33815</v>
      </c>
      <c r="BK211" s="54"/>
    </row>
    <row r="212" spans="1:63" ht="34.5" hidden="1" customHeight="1" x14ac:dyDescent="0.25">
      <c r="A212" s="35">
        <f t="shared" si="113"/>
        <v>36</v>
      </c>
      <c r="B212" s="35" t="s">
        <v>450</v>
      </c>
      <c r="C212" s="105">
        <v>20131558728</v>
      </c>
      <c r="D212" s="37" t="s">
        <v>106</v>
      </c>
      <c r="E212" s="81" t="b">
        <v>0</v>
      </c>
      <c r="F212" s="81"/>
      <c r="G212" s="65">
        <v>46022</v>
      </c>
      <c r="H212" s="35">
        <v>1</v>
      </c>
      <c r="I212" s="35">
        <v>370</v>
      </c>
      <c r="J212" s="95" t="s">
        <v>451</v>
      </c>
      <c r="K212" s="87">
        <v>7006799881</v>
      </c>
      <c r="L212" s="87">
        <v>507772333</v>
      </c>
      <c r="M212" s="81">
        <v>1005770712</v>
      </c>
      <c r="N212" s="35" t="s">
        <v>73</v>
      </c>
      <c r="O212" s="35" t="s">
        <v>97</v>
      </c>
      <c r="P212" s="35">
        <v>5</v>
      </c>
      <c r="Q212" s="35">
        <v>4</v>
      </c>
      <c r="R212" s="35">
        <f t="shared" si="106"/>
        <v>20</v>
      </c>
      <c r="S212" s="44">
        <v>30000</v>
      </c>
      <c r="T212" s="44">
        <f t="shared" si="114"/>
        <v>3000</v>
      </c>
      <c r="U212" s="63">
        <f t="shared" si="115"/>
        <v>33000</v>
      </c>
      <c r="V212" s="106"/>
      <c r="W212" s="106"/>
      <c r="X212" s="52">
        <v>0</v>
      </c>
      <c r="Y212" s="48">
        <f t="shared" si="101"/>
        <v>0</v>
      </c>
      <c r="Z212" s="50">
        <v>0</v>
      </c>
      <c r="AA212" s="50">
        <f t="shared" si="102"/>
        <v>0</v>
      </c>
      <c r="AB212" s="50"/>
      <c r="AC212" s="52">
        <v>34500</v>
      </c>
      <c r="AD212" s="52">
        <f>S212*1.15-AC212</f>
        <v>0</v>
      </c>
      <c r="AE212" s="53">
        <f>S212*1.15+X212-AB212-AC212</f>
        <v>0</v>
      </c>
      <c r="AF212" s="52" t="b">
        <v>0</v>
      </c>
      <c r="AG212" s="52"/>
      <c r="AH212" s="52"/>
      <c r="AI212" s="52"/>
      <c r="AJ212" s="52"/>
      <c r="AK212" s="52"/>
      <c r="AL212" s="52"/>
      <c r="AM212" s="52" t="b">
        <v>0</v>
      </c>
      <c r="AN212" s="52"/>
      <c r="AO212" s="52"/>
      <c r="AP212" s="52"/>
      <c r="AQ212" s="52"/>
      <c r="AR212" s="52"/>
      <c r="AS212" s="52" t="b">
        <v>0</v>
      </c>
      <c r="AT212" s="52"/>
      <c r="AU212" s="52"/>
      <c r="AV212" s="52"/>
      <c r="AW212" s="52"/>
      <c r="AX212" s="52" t="str">
        <f t="shared" si="103"/>
        <v>ملتزم</v>
      </c>
      <c r="AY212" s="54" t="s">
        <v>69</v>
      </c>
      <c r="AZ212" s="43" t="s">
        <v>107</v>
      </c>
      <c r="BA212" s="55"/>
      <c r="BB212" s="55"/>
      <c r="BC212" s="55"/>
      <c r="BD212" s="54"/>
      <c r="BE212" s="68">
        <v>22137.5</v>
      </c>
      <c r="BF212" s="54"/>
      <c r="BG212" s="54"/>
      <c r="BH212" s="54"/>
      <c r="BI212" s="54" t="s">
        <v>72</v>
      </c>
      <c r="BJ212" s="54">
        <f>(U212+V212+AE212)-BD212-BE212</f>
        <v>10862.5</v>
      </c>
      <c r="BK212" s="54" t="s">
        <v>452</v>
      </c>
    </row>
    <row r="213" spans="1:63" ht="34.5" hidden="1" customHeight="1" x14ac:dyDescent="0.25">
      <c r="A213" s="35">
        <f t="shared" si="113"/>
        <v>37</v>
      </c>
      <c r="B213" s="35" t="s">
        <v>453</v>
      </c>
      <c r="C213" s="105"/>
      <c r="D213" s="37" t="s">
        <v>106</v>
      </c>
      <c r="E213" s="81" t="b">
        <v>0</v>
      </c>
      <c r="F213" s="81"/>
      <c r="G213" s="65">
        <v>46022</v>
      </c>
      <c r="H213" s="35">
        <v>2</v>
      </c>
      <c r="I213" s="35" t="s">
        <v>454</v>
      </c>
      <c r="J213" s="93" t="s">
        <v>451</v>
      </c>
      <c r="K213" s="85">
        <v>7006799881</v>
      </c>
      <c r="L213" s="81">
        <v>507772323</v>
      </c>
      <c r="M213" s="81">
        <v>1005770712</v>
      </c>
      <c r="N213" s="35" t="s">
        <v>73</v>
      </c>
      <c r="O213" s="35" t="s">
        <v>97</v>
      </c>
      <c r="P213" s="35">
        <v>10.65</v>
      </c>
      <c r="Q213" s="35">
        <v>4.6500000000000004</v>
      </c>
      <c r="R213" s="35">
        <f t="shared" si="106"/>
        <v>49.522500000000008</v>
      </c>
      <c r="S213" s="43">
        <v>60000</v>
      </c>
      <c r="T213" s="44">
        <f t="shared" si="114"/>
        <v>6000</v>
      </c>
      <c r="U213" s="63">
        <f t="shared" si="115"/>
        <v>66000</v>
      </c>
      <c r="V213" s="106"/>
      <c r="W213" s="106"/>
      <c r="X213" s="45"/>
      <c r="Y213" s="48">
        <f t="shared" si="101"/>
        <v>0</v>
      </c>
      <c r="Z213" s="50">
        <v>0</v>
      </c>
      <c r="AA213" s="50">
        <f t="shared" si="102"/>
        <v>0</v>
      </c>
      <c r="AB213" s="50"/>
      <c r="AC213" s="52">
        <v>69000</v>
      </c>
      <c r="AD213" s="52">
        <f>S213*1.15-AC213</f>
        <v>0</v>
      </c>
      <c r="AE213" s="53">
        <f>S213*1.15+X213-AB213-AC213</f>
        <v>0</v>
      </c>
      <c r="AF213" s="52" t="b">
        <v>0</v>
      </c>
      <c r="AG213" s="52"/>
      <c r="AH213" s="52"/>
      <c r="AI213" s="52"/>
      <c r="AJ213" s="52"/>
      <c r="AK213" s="52"/>
      <c r="AL213" s="52"/>
      <c r="AM213" s="52" t="b">
        <v>0</v>
      </c>
      <c r="AN213" s="52"/>
      <c r="AO213" s="52"/>
      <c r="AP213" s="52"/>
      <c r="AQ213" s="52"/>
      <c r="AR213" s="52"/>
      <c r="AS213" s="52" t="b">
        <v>0</v>
      </c>
      <c r="AT213" s="52"/>
      <c r="AU213" s="52"/>
      <c r="AV213" s="52"/>
      <c r="AW213" s="52"/>
      <c r="AX213" s="52" t="str">
        <f t="shared" si="103"/>
        <v>ملتزم</v>
      </c>
      <c r="AY213" s="54" t="s">
        <v>77</v>
      </c>
      <c r="AZ213" s="43"/>
      <c r="BA213" s="55"/>
      <c r="BB213" s="55"/>
      <c r="BC213" s="55"/>
      <c r="BD213" s="54"/>
      <c r="BE213" s="68">
        <v>0</v>
      </c>
      <c r="BF213" s="54"/>
      <c r="BG213" s="54"/>
      <c r="BH213" s="54"/>
      <c r="BI213" s="54" t="s">
        <v>76</v>
      </c>
      <c r="BJ213" s="54">
        <f>(U213+V213+AE213)-BD213-BE213</f>
        <v>66000</v>
      </c>
      <c r="BK213" s="54"/>
    </row>
    <row r="214" spans="1:63" ht="34.5" hidden="1" customHeight="1" x14ac:dyDescent="0.25">
      <c r="A214" s="35">
        <f t="shared" si="113"/>
        <v>38</v>
      </c>
      <c r="B214" s="35" t="s">
        <v>455</v>
      </c>
      <c r="C214" s="105">
        <v>20535377243</v>
      </c>
      <c r="D214" s="37" t="s">
        <v>106</v>
      </c>
      <c r="E214" s="81" t="b">
        <v>0</v>
      </c>
      <c r="F214" s="81"/>
      <c r="G214" s="113">
        <v>46021</v>
      </c>
      <c r="H214" s="35">
        <v>1</v>
      </c>
      <c r="I214" s="35">
        <v>208</v>
      </c>
      <c r="J214" s="84" t="s">
        <v>456</v>
      </c>
      <c r="K214" s="81">
        <v>7028633613</v>
      </c>
      <c r="L214" s="81">
        <v>502032163</v>
      </c>
      <c r="M214" s="81">
        <v>1121123341</v>
      </c>
      <c r="N214" s="35" t="s">
        <v>73</v>
      </c>
      <c r="O214" s="35" t="s">
        <v>97</v>
      </c>
      <c r="P214" s="35">
        <v>4.0999999999999996</v>
      </c>
      <c r="Q214" s="35">
        <v>4.05</v>
      </c>
      <c r="R214" s="35">
        <f t="shared" si="106"/>
        <v>16.604999999999997</v>
      </c>
      <c r="S214" s="44">
        <v>34000</v>
      </c>
      <c r="T214" s="44">
        <f t="shared" ref="T214:T216" si="116">S214*20/100</f>
        <v>6800</v>
      </c>
      <c r="U214" s="63">
        <f t="shared" ref="U214:U218" si="117">S214+T214+200</f>
        <v>41000</v>
      </c>
      <c r="V214" s="148"/>
      <c r="W214" s="148"/>
      <c r="X214" s="115">
        <v>0</v>
      </c>
      <c r="Y214" s="89">
        <f t="shared" si="101"/>
        <v>0</v>
      </c>
      <c r="Z214" s="91">
        <v>0</v>
      </c>
      <c r="AA214" s="91">
        <f t="shared" si="102"/>
        <v>0</v>
      </c>
      <c r="AB214" s="91"/>
      <c r="AC214" s="54">
        <v>39100</v>
      </c>
      <c r="AD214" s="54">
        <f>S214*1.15-AC214</f>
        <v>0</v>
      </c>
      <c r="AE214" s="53">
        <f>S214*1.15+X214-AB214-AC214</f>
        <v>0</v>
      </c>
      <c r="AF214" s="54" t="b">
        <v>0</v>
      </c>
      <c r="AG214" s="54"/>
      <c r="AH214" s="54"/>
      <c r="AI214" s="54"/>
      <c r="AJ214" s="54"/>
      <c r="AK214" s="54"/>
      <c r="AL214" s="54"/>
      <c r="AM214" s="54" t="b">
        <v>0</v>
      </c>
      <c r="AN214" s="54"/>
      <c r="AO214" s="54"/>
      <c r="AP214" s="54"/>
      <c r="AQ214" s="54"/>
      <c r="AR214" s="54"/>
      <c r="AS214" s="54" t="b">
        <v>0</v>
      </c>
      <c r="AT214" s="54"/>
      <c r="AU214" s="54"/>
      <c r="AV214" s="54"/>
      <c r="AW214" s="54"/>
      <c r="AX214" s="54" t="str">
        <f t="shared" si="103"/>
        <v>ملتزم</v>
      </c>
      <c r="AY214" s="54" t="s">
        <v>77</v>
      </c>
      <c r="AZ214" s="43" t="s">
        <v>107</v>
      </c>
      <c r="BA214" s="55"/>
      <c r="BB214" s="55"/>
      <c r="BC214" s="55"/>
      <c r="BD214" s="54"/>
      <c r="BE214" s="68">
        <v>23575</v>
      </c>
      <c r="BF214" s="54"/>
      <c r="BG214" s="54"/>
      <c r="BH214" s="54"/>
      <c r="BI214" s="54" t="s">
        <v>76</v>
      </c>
      <c r="BJ214" s="54">
        <f>(U214+V214+AE214)-BD214-BE214</f>
        <v>17425</v>
      </c>
      <c r="BK214" s="54" t="s">
        <v>113</v>
      </c>
    </row>
    <row r="215" spans="1:63" ht="34.5" hidden="1" customHeight="1" x14ac:dyDescent="0.25">
      <c r="A215" s="35">
        <f t="shared" si="113"/>
        <v>39</v>
      </c>
      <c r="B215" s="35" t="s">
        <v>457</v>
      </c>
      <c r="C215" s="105">
        <v>20131938167</v>
      </c>
      <c r="D215" s="37" t="s">
        <v>106</v>
      </c>
      <c r="E215" s="81" t="b">
        <v>0</v>
      </c>
      <c r="F215" s="81"/>
      <c r="G215" s="113">
        <v>46022</v>
      </c>
      <c r="H215" s="35">
        <v>2</v>
      </c>
      <c r="I215" s="35" t="s">
        <v>458</v>
      </c>
      <c r="J215" s="95" t="s">
        <v>459</v>
      </c>
      <c r="K215" s="114">
        <v>7014142058</v>
      </c>
      <c r="L215" s="114">
        <v>505618088</v>
      </c>
      <c r="M215" s="81">
        <v>1011712351</v>
      </c>
      <c r="N215" s="35" t="s">
        <v>73</v>
      </c>
      <c r="O215" s="35" t="s">
        <v>97</v>
      </c>
      <c r="P215" s="35">
        <v>8.1999999999999993</v>
      </c>
      <c r="Q215" s="35">
        <v>4.0999999999999996</v>
      </c>
      <c r="R215" s="35">
        <f t="shared" si="106"/>
        <v>33.619999999999997</v>
      </c>
      <c r="S215" s="44">
        <v>60000</v>
      </c>
      <c r="T215" s="44">
        <f t="shared" si="116"/>
        <v>12000</v>
      </c>
      <c r="U215" s="63">
        <f t="shared" si="117"/>
        <v>72200</v>
      </c>
      <c r="V215" s="44"/>
      <c r="W215" s="44"/>
      <c r="X215" s="54">
        <v>0</v>
      </c>
      <c r="Y215" s="89">
        <f t="shared" si="101"/>
        <v>0</v>
      </c>
      <c r="Z215" s="91">
        <v>0</v>
      </c>
      <c r="AA215" s="91">
        <f t="shared" si="102"/>
        <v>0</v>
      </c>
      <c r="AB215" s="91"/>
      <c r="AC215" s="54">
        <v>69000</v>
      </c>
      <c r="AD215" s="54">
        <f>S215*1.15-AC215</f>
        <v>0</v>
      </c>
      <c r="AE215" s="53">
        <f>S215*1.15+X215-AB215-AC215</f>
        <v>0</v>
      </c>
      <c r="AF215" s="52" t="b">
        <v>0</v>
      </c>
      <c r="AG215" s="52"/>
      <c r="AH215" s="52"/>
      <c r="AI215" s="52"/>
      <c r="AJ215" s="52"/>
      <c r="AK215" s="52"/>
      <c r="AL215" s="52"/>
      <c r="AM215" s="52" t="b">
        <v>0</v>
      </c>
      <c r="AN215" s="52"/>
      <c r="AO215" s="52"/>
      <c r="AP215" s="52"/>
      <c r="AQ215" s="52"/>
      <c r="AR215" s="52"/>
      <c r="AS215" s="52" t="b">
        <v>0</v>
      </c>
      <c r="AT215" s="54"/>
      <c r="AU215" s="54"/>
      <c r="AV215" s="54"/>
      <c r="AW215" s="54"/>
      <c r="AX215" s="54" t="str">
        <f t="shared" si="103"/>
        <v>ملتزم</v>
      </c>
      <c r="AY215" s="54" t="s">
        <v>77</v>
      </c>
      <c r="AZ215" s="43" t="s">
        <v>107</v>
      </c>
      <c r="BA215" s="55"/>
      <c r="BB215" s="55"/>
      <c r="BC215" s="55"/>
      <c r="BD215" s="54"/>
      <c r="BE215" s="68">
        <v>20757</v>
      </c>
      <c r="BF215" s="54"/>
      <c r="BG215" s="54"/>
      <c r="BH215" s="54"/>
      <c r="BI215" s="54" t="s">
        <v>112</v>
      </c>
      <c r="BJ215" s="54">
        <f>(U215+V215+AE215)-BD215-BE215</f>
        <v>51443</v>
      </c>
      <c r="BK215" s="54" t="s">
        <v>113</v>
      </c>
    </row>
    <row r="216" spans="1:63" ht="34.5" hidden="1" customHeight="1" x14ac:dyDescent="0.25">
      <c r="A216" s="35">
        <f t="shared" si="113"/>
        <v>40</v>
      </c>
      <c r="B216" s="35" t="s">
        <v>460</v>
      </c>
      <c r="C216" s="105">
        <v>20779840653</v>
      </c>
      <c r="D216" s="37" t="s">
        <v>106</v>
      </c>
      <c r="E216" s="81" t="b">
        <v>0</v>
      </c>
      <c r="F216" s="81"/>
      <c r="G216" s="113">
        <v>46022</v>
      </c>
      <c r="H216" s="35">
        <v>1</v>
      </c>
      <c r="I216" s="35">
        <v>225</v>
      </c>
      <c r="J216" s="84" t="s">
        <v>397</v>
      </c>
      <c r="K216" s="87">
        <v>7014390798</v>
      </c>
      <c r="L216" s="87">
        <v>530733933</v>
      </c>
      <c r="M216" s="81">
        <v>1072561747</v>
      </c>
      <c r="N216" s="35" t="s">
        <v>73</v>
      </c>
      <c r="O216" s="35" t="s">
        <v>97</v>
      </c>
      <c r="P216" s="35">
        <v>3.65</v>
      </c>
      <c r="Q216" s="35">
        <v>4.12</v>
      </c>
      <c r="R216" s="35">
        <f t="shared" si="106"/>
        <v>15.038</v>
      </c>
      <c r="S216" s="44">
        <v>30000</v>
      </c>
      <c r="T216" s="44">
        <f t="shared" si="116"/>
        <v>6000</v>
      </c>
      <c r="U216" s="63">
        <f t="shared" si="117"/>
        <v>36200</v>
      </c>
      <c r="V216" s="44"/>
      <c r="W216" s="44"/>
      <c r="X216" s="54">
        <v>0</v>
      </c>
      <c r="Y216" s="89">
        <f t="shared" si="101"/>
        <v>0</v>
      </c>
      <c r="Z216" s="91">
        <v>0</v>
      </c>
      <c r="AA216" s="91">
        <f t="shared" si="102"/>
        <v>0</v>
      </c>
      <c r="AB216" s="91"/>
      <c r="AC216" s="54">
        <v>34500</v>
      </c>
      <c r="AD216" s="54">
        <f>S216*1.15-AC216</f>
        <v>0</v>
      </c>
      <c r="AE216" s="53">
        <f>S216*1.15+X216-AB216-AC216</f>
        <v>0</v>
      </c>
      <c r="AF216" s="54" t="b">
        <v>0</v>
      </c>
      <c r="AG216" s="54"/>
      <c r="AH216" s="54"/>
      <c r="AI216" s="54"/>
      <c r="AJ216" s="54"/>
      <c r="AK216" s="54"/>
      <c r="AL216" s="54"/>
      <c r="AM216" s="54" t="b">
        <v>0</v>
      </c>
      <c r="AN216" s="54"/>
      <c r="AO216" s="54"/>
      <c r="AP216" s="54"/>
      <c r="AQ216" s="54"/>
      <c r="AR216" s="54"/>
      <c r="AS216" s="54" t="b">
        <v>0</v>
      </c>
      <c r="AT216" s="54"/>
      <c r="AU216" s="54"/>
      <c r="AV216" s="54"/>
      <c r="AW216" s="54"/>
      <c r="AX216" s="54" t="str">
        <f t="shared" si="103"/>
        <v>ملتزم</v>
      </c>
      <c r="AY216" s="54" t="s">
        <v>69</v>
      </c>
      <c r="AZ216" s="43" t="s">
        <v>107</v>
      </c>
      <c r="BA216" s="55"/>
      <c r="BB216" s="55"/>
      <c r="BC216" s="55"/>
      <c r="BD216" s="54"/>
      <c r="BE216" s="68">
        <v>20700</v>
      </c>
      <c r="BF216" s="54"/>
      <c r="BG216" s="54"/>
      <c r="BH216" s="54"/>
      <c r="BI216" s="54" t="s">
        <v>76</v>
      </c>
      <c r="BJ216" s="54">
        <f>(U216+V216+AE216)-BD216-BE216</f>
        <v>15500</v>
      </c>
      <c r="BK216" s="54" t="s">
        <v>113</v>
      </c>
    </row>
    <row r="217" spans="1:63" ht="34.5" hidden="1" customHeight="1" x14ac:dyDescent="0.25">
      <c r="A217" s="35">
        <f t="shared" si="113"/>
        <v>41</v>
      </c>
      <c r="B217" s="35" t="s">
        <v>461</v>
      </c>
      <c r="C217" s="105">
        <v>20113716414</v>
      </c>
      <c r="D217" s="37" t="s">
        <v>106</v>
      </c>
      <c r="E217" s="81" t="b">
        <v>0</v>
      </c>
      <c r="F217" s="81"/>
      <c r="G217" s="113">
        <v>46022</v>
      </c>
      <c r="H217" s="35">
        <v>1</v>
      </c>
      <c r="I217" s="35">
        <v>258</v>
      </c>
      <c r="J217" s="95" t="s">
        <v>220</v>
      </c>
      <c r="K217" s="81">
        <v>7006392216</v>
      </c>
      <c r="L217" s="81">
        <v>500142648</v>
      </c>
      <c r="M217" s="81">
        <v>1107943241</v>
      </c>
      <c r="N217" s="35" t="s">
        <v>73</v>
      </c>
      <c r="O217" s="35" t="s">
        <v>97</v>
      </c>
      <c r="P217" s="35">
        <v>5</v>
      </c>
      <c r="Q217" s="35">
        <v>5</v>
      </c>
      <c r="R217" s="35">
        <f t="shared" si="106"/>
        <v>25</v>
      </c>
      <c r="S217" s="44">
        <v>30000</v>
      </c>
      <c r="T217" s="44">
        <f t="shared" ref="T217:T219" si="118">S217*10/100</f>
        <v>3000</v>
      </c>
      <c r="U217" s="63">
        <f t="shared" si="117"/>
        <v>33200</v>
      </c>
      <c r="V217" s="44"/>
      <c r="W217" s="44"/>
      <c r="X217" s="54">
        <v>0</v>
      </c>
      <c r="Y217" s="89">
        <f t="shared" si="101"/>
        <v>0</v>
      </c>
      <c r="Z217" s="91">
        <v>0</v>
      </c>
      <c r="AA217" s="91">
        <f t="shared" si="102"/>
        <v>0</v>
      </c>
      <c r="AB217" s="91"/>
      <c r="AC217" s="54">
        <v>34500</v>
      </c>
      <c r="AD217" s="54">
        <f>S217*1.15-AC217</f>
        <v>0</v>
      </c>
      <c r="AE217" s="53">
        <f>S217*1.15+X217-AB217-AC217</f>
        <v>0</v>
      </c>
      <c r="AF217" s="52" t="b">
        <v>0</v>
      </c>
      <c r="AG217" s="52"/>
      <c r="AH217" s="52"/>
      <c r="AI217" s="52"/>
      <c r="AJ217" s="52"/>
      <c r="AK217" s="52"/>
      <c r="AL217" s="52"/>
      <c r="AM217" s="52" t="b">
        <v>0</v>
      </c>
      <c r="AN217" s="52"/>
      <c r="AO217" s="52"/>
      <c r="AP217" s="52"/>
      <c r="AQ217" s="52"/>
      <c r="AR217" s="52"/>
      <c r="AS217" s="52" t="b">
        <v>0</v>
      </c>
      <c r="AT217" s="54"/>
      <c r="AU217" s="54"/>
      <c r="AV217" s="54"/>
      <c r="AW217" s="54"/>
      <c r="AX217" s="54" t="str">
        <f t="shared" si="103"/>
        <v>ملتزم</v>
      </c>
      <c r="AY217" s="54" t="s">
        <v>69</v>
      </c>
      <c r="AZ217" s="43" t="s">
        <v>107</v>
      </c>
      <c r="BA217" s="55"/>
      <c r="BB217" s="55"/>
      <c r="BC217" s="55"/>
      <c r="BD217" s="54"/>
      <c r="BE217" s="68">
        <v>28578</v>
      </c>
      <c r="BF217" s="54"/>
      <c r="BG217" s="54"/>
      <c r="BH217" s="54"/>
      <c r="BI217" s="54" t="s">
        <v>76</v>
      </c>
      <c r="BJ217" s="54">
        <f>(U217+V217+AE217)-BD217-BE217</f>
        <v>4622</v>
      </c>
      <c r="BK217" s="54" t="s">
        <v>113</v>
      </c>
    </row>
    <row r="218" spans="1:63" ht="34.5" hidden="1" customHeight="1" x14ac:dyDescent="0.25">
      <c r="A218" s="35">
        <f t="shared" si="113"/>
        <v>42</v>
      </c>
      <c r="B218" s="35" t="s">
        <v>461</v>
      </c>
      <c r="C218" s="105">
        <v>20166995762</v>
      </c>
      <c r="D218" s="37" t="s">
        <v>106</v>
      </c>
      <c r="E218" s="81" t="b">
        <v>0</v>
      </c>
      <c r="F218" s="81"/>
      <c r="G218" s="113">
        <v>46022</v>
      </c>
      <c r="H218" s="35">
        <v>1</v>
      </c>
      <c r="I218" s="35">
        <v>277</v>
      </c>
      <c r="J218" s="95" t="s">
        <v>220</v>
      </c>
      <c r="K218" s="81">
        <v>7006392216</v>
      </c>
      <c r="L218" s="81">
        <v>500142648</v>
      </c>
      <c r="M218" s="81">
        <v>1107943241</v>
      </c>
      <c r="N218" s="35" t="s">
        <v>73</v>
      </c>
      <c r="O218" s="35" t="s">
        <v>97</v>
      </c>
      <c r="P218" s="35">
        <v>5</v>
      </c>
      <c r="Q218" s="35">
        <v>5</v>
      </c>
      <c r="R218" s="35">
        <f t="shared" si="106"/>
        <v>25</v>
      </c>
      <c r="S218" s="44">
        <v>30000</v>
      </c>
      <c r="T218" s="44">
        <f t="shared" si="118"/>
        <v>3000</v>
      </c>
      <c r="U218" s="63">
        <f t="shared" si="117"/>
        <v>33200</v>
      </c>
      <c r="V218" s="44"/>
      <c r="W218" s="44"/>
      <c r="X218" s="54">
        <v>0</v>
      </c>
      <c r="Y218" s="89">
        <f t="shared" si="101"/>
        <v>0</v>
      </c>
      <c r="Z218" s="91">
        <v>0</v>
      </c>
      <c r="AA218" s="91">
        <f t="shared" si="102"/>
        <v>0</v>
      </c>
      <c r="AB218" s="91"/>
      <c r="AC218" s="54">
        <v>34500</v>
      </c>
      <c r="AD218" s="54">
        <f>S218*1.15-AC218</f>
        <v>0</v>
      </c>
      <c r="AE218" s="53">
        <f>S218*1.15+X218-AB218-AC218</f>
        <v>0</v>
      </c>
      <c r="AF218" s="52" t="b">
        <v>0</v>
      </c>
      <c r="AG218" s="52"/>
      <c r="AH218" s="52"/>
      <c r="AI218" s="52"/>
      <c r="AJ218" s="52"/>
      <c r="AK218" s="52"/>
      <c r="AL218" s="52"/>
      <c r="AM218" s="52" t="b">
        <v>0</v>
      </c>
      <c r="AN218" s="52"/>
      <c r="AO218" s="52"/>
      <c r="AP218" s="52"/>
      <c r="AQ218" s="52"/>
      <c r="AR218" s="52"/>
      <c r="AS218" s="52" t="b">
        <v>0</v>
      </c>
      <c r="AT218" s="54"/>
      <c r="AU218" s="54"/>
      <c r="AV218" s="54"/>
      <c r="AW218" s="54"/>
      <c r="AX218" s="54" t="str">
        <f t="shared" si="103"/>
        <v>ملتزم</v>
      </c>
      <c r="AY218" s="54" t="s">
        <v>69</v>
      </c>
      <c r="AZ218" s="43" t="s">
        <v>107</v>
      </c>
      <c r="BA218" s="55"/>
      <c r="BB218" s="55"/>
      <c r="BC218" s="55"/>
      <c r="BD218" s="54"/>
      <c r="BE218" s="68">
        <v>19033</v>
      </c>
      <c r="BF218" s="54"/>
      <c r="BG218" s="54"/>
      <c r="BH218" s="54"/>
      <c r="BI218" s="54" t="s">
        <v>112</v>
      </c>
      <c r="BJ218" s="54">
        <f>(U218+V218+AE218)-BD218-BE218</f>
        <v>14167</v>
      </c>
      <c r="BK218" s="54" t="s">
        <v>113</v>
      </c>
    </row>
    <row r="219" spans="1:63" ht="34.5" hidden="1" customHeight="1" x14ac:dyDescent="0.25">
      <c r="A219" s="35">
        <f t="shared" si="113"/>
        <v>43</v>
      </c>
      <c r="B219" s="35" t="s">
        <v>462</v>
      </c>
      <c r="C219" s="105"/>
      <c r="D219" s="37" t="s">
        <v>100</v>
      </c>
      <c r="E219" s="37" t="b">
        <v>0</v>
      </c>
      <c r="F219" s="37"/>
      <c r="G219" s="65"/>
      <c r="H219" s="35">
        <v>4</v>
      </c>
      <c r="I219" s="35" t="s">
        <v>463</v>
      </c>
      <c r="J219" s="93" t="s">
        <v>307</v>
      </c>
      <c r="K219" s="85">
        <v>7006356088</v>
      </c>
      <c r="L219" s="81">
        <v>555610816</v>
      </c>
      <c r="M219" s="81">
        <v>1011008792</v>
      </c>
      <c r="N219" s="35" t="s">
        <v>73</v>
      </c>
      <c r="O219" s="35" t="s">
        <v>97</v>
      </c>
      <c r="P219" s="35">
        <v>8.5</v>
      </c>
      <c r="Q219" s="35">
        <v>8.6</v>
      </c>
      <c r="R219" s="35">
        <f t="shared" si="106"/>
        <v>73.099999999999994</v>
      </c>
      <c r="S219" s="43">
        <v>128000</v>
      </c>
      <c r="T219" s="44">
        <f t="shared" si="118"/>
        <v>12800</v>
      </c>
      <c r="U219" s="63">
        <f>S219+T219</f>
        <v>140800</v>
      </c>
      <c r="V219" s="140"/>
      <c r="W219" s="140"/>
      <c r="X219" s="45"/>
      <c r="Y219" s="48">
        <f t="shared" si="101"/>
        <v>0</v>
      </c>
      <c r="Z219" s="50">
        <v>0</v>
      </c>
      <c r="AA219" s="50">
        <v>0</v>
      </c>
      <c r="AB219" s="50">
        <v>0</v>
      </c>
      <c r="AC219" s="52">
        <v>31117</v>
      </c>
      <c r="AD219" s="52">
        <f>S219*1.15-AC219</f>
        <v>116083</v>
      </c>
      <c r="AE219" s="53">
        <f>S219*1.15+X219-AB219-AC219</f>
        <v>116083</v>
      </c>
      <c r="AF219" s="52" t="b">
        <v>0</v>
      </c>
      <c r="AG219" s="52"/>
      <c r="AH219" s="52"/>
      <c r="AI219" s="52"/>
      <c r="AJ219" s="52"/>
      <c r="AK219" s="52"/>
      <c r="AL219" s="52"/>
      <c r="AM219" s="52" t="b">
        <v>0</v>
      </c>
      <c r="AN219" s="52"/>
      <c r="AO219" s="52"/>
      <c r="AP219" s="52"/>
      <c r="AQ219" s="52"/>
      <c r="AR219" s="52"/>
      <c r="AS219" s="52" t="b">
        <v>0</v>
      </c>
      <c r="AT219" s="52"/>
      <c r="AU219" s="52"/>
      <c r="AV219" s="52"/>
      <c r="AW219" s="52"/>
      <c r="AX219" s="52" t="str">
        <f t="shared" si="103"/>
        <v>غير ملتزم</v>
      </c>
      <c r="AY219" s="54" t="s">
        <v>77</v>
      </c>
      <c r="AZ219" s="43"/>
      <c r="BA219" s="70" t="s">
        <v>75</v>
      </c>
      <c r="BB219" s="70"/>
      <c r="BC219" s="70"/>
      <c r="BD219" s="54"/>
      <c r="BE219" s="68">
        <v>0</v>
      </c>
      <c r="BF219" s="54"/>
      <c r="BG219" s="54"/>
      <c r="BH219" s="54"/>
      <c r="BI219" s="54"/>
      <c r="BJ219" s="54">
        <f>(U219+V219+AE219)-BD219-BE219</f>
        <v>256883</v>
      </c>
      <c r="BK219" s="54"/>
    </row>
    <row r="220" spans="1:63" ht="34.5" hidden="1" customHeight="1" x14ac:dyDescent="0.25">
      <c r="A220" s="35">
        <f t="shared" si="113"/>
        <v>44</v>
      </c>
      <c r="B220" s="35" t="s">
        <v>464</v>
      </c>
      <c r="C220" s="105">
        <v>20281647050</v>
      </c>
      <c r="D220" s="37" t="s">
        <v>106</v>
      </c>
      <c r="E220" s="81" t="b">
        <v>0</v>
      </c>
      <c r="F220" s="81"/>
      <c r="G220" s="113">
        <v>46022</v>
      </c>
      <c r="H220" s="35">
        <v>1</v>
      </c>
      <c r="I220" s="35">
        <v>206</v>
      </c>
      <c r="J220" s="95" t="s">
        <v>465</v>
      </c>
      <c r="K220" s="81">
        <v>7007705572</v>
      </c>
      <c r="L220" s="81">
        <v>596250966</v>
      </c>
      <c r="M220" s="81">
        <v>1125700276</v>
      </c>
      <c r="N220" s="35" t="s">
        <v>73</v>
      </c>
      <c r="O220" s="35" t="s">
        <v>97</v>
      </c>
      <c r="P220" s="35">
        <v>8.6999999999999993</v>
      </c>
      <c r="Q220" s="35">
        <v>3.55</v>
      </c>
      <c r="R220" s="35">
        <f t="shared" si="106"/>
        <v>30.884999999999994</v>
      </c>
      <c r="S220" s="44">
        <v>30000</v>
      </c>
      <c r="T220" s="44">
        <f>S220*20/100</f>
        <v>6000</v>
      </c>
      <c r="U220" s="63">
        <f t="shared" ref="U220:U221" si="119">S220+T220+200</f>
        <v>36200</v>
      </c>
      <c r="V220" s="44"/>
      <c r="W220" s="44"/>
      <c r="X220" s="54">
        <v>0</v>
      </c>
      <c r="Y220" s="89">
        <f t="shared" si="101"/>
        <v>0</v>
      </c>
      <c r="Z220" s="91">
        <v>0</v>
      </c>
      <c r="AA220" s="91">
        <f t="shared" ref="AA220:AA227" si="120">Z220/1.15</f>
        <v>0</v>
      </c>
      <c r="AB220" s="91"/>
      <c r="AC220" s="54">
        <v>34500</v>
      </c>
      <c r="AD220" s="54">
        <f>S220*1.15-AC220</f>
        <v>0</v>
      </c>
      <c r="AE220" s="53">
        <f>S220*1.15+X220-AB220-AC220</f>
        <v>0</v>
      </c>
      <c r="AF220" s="52" t="b">
        <v>0</v>
      </c>
      <c r="AG220" s="52"/>
      <c r="AH220" s="52"/>
      <c r="AI220" s="52"/>
      <c r="AJ220" s="52"/>
      <c r="AK220" s="52"/>
      <c r="AL220" s="52"/>
      <c r="AM220" s="52" t="b">
        <v>0</v>
      </c>
      <c r="AN220" s="52"/>
      <c r="AO220" s="52"/>
      <c r="AP220" s="52"/>
      <c r="AQ220" s="52"/>
      <c r="AR220" s="52"/>
      <c r="AS220" s="52" t="b">
        <v>0</v>
      </c>
      <c r="AT220" s="54"/>
      <c r="AU220" s="54"/>
      <c r="AV220" s="54"/>
      <c r="AW220" s="54"/>
      <c r="AX220" s="54" t="str">
        <f t="shared" si="103"/>
        <v>ملتزم</v>
      </c>
      <c r="AY220" s="54" t="s">
        <v>77</v>
      </c>
      <c r="AZ220" s="43" t="s">
        <v>107</v>
      </c>
      <c r="BA220" s="55"/>
      <c r="BB220" s="55"/>
      <c r="BC220" s="55"/>
      <c r="BD220" s="54"/>
      <c r="BE220" s="68">
        <v>20700</v>
      </c>
      <c r="BF220" s="54"/>
      <c r="BG220" s="54"/>
      <c r="BH220" s="54"/>
      <c r="BI220" s="54" t="s">
        <v>112</v>
      </c>
      <c r="BJ220" s="54">
        <f>(U220+V220+AE220)-BD220-BE220</f>
        <v>15500</v>
      </c>
      <c r="BK220" s="54" t="s">
        <v>113</v>
      </c>
    </row>
    <row r="221" spans="1:63" ht="34.5" hidden="1" customHeight="1" x14ac:dyDescent="0.25">
      <c r="A221" s="35">
        <f t="shared" si="113"/>
        <v>45</v>
      </c>
      <c r="B221" s="35" t="s">
        <v>464</v>
      </c>
      <c r="C221" s="105">
        <v>20831569189</v>
      </c>
      <c r="D221" s="37" t="s">
        <v>106</v>
      </c>
      <c r="E221" s="37" t="b">
        <v>0</v>
      </c>
      <c r="F221" s="37"/>
      <c r="G221" s="113">
        <v>46022</v>
      </c>
      <c r="H221" s="35">
        <v>1</v>
      </c>
      <c r="I221" s="35">
        <v>251</v>
      </c>
      <c r="J221" s="95" t="s">
        <v>465</v>
      </c>
      <c r="K221" s="81">
        <v>7007705572</v>
      </c>
      <c r="L221" s="81">
        <v>596250966</v>
      </c>
      <c r="M221" s="81">
        <v>1125700276</v>
      </c>
      <c r="N221" s="35" t="s">
        <v>73</v>
      </c>
      <c r="O221" s="35" t="s">
        <v>97</v>
      </c>
      <c r="P221" s="35">
        <v>4</v>
      </c>
      <c r="Q221" s="35">
        <v>4</v>
      </c>
      <c r="R221" s="35">
        <f t="shared" si="106"/>
        <v>16</v>
      </c>
      <c r="S221" s="44">
        <v>30000</v>
      </c>
      <c r="T221" s="44">
        <f t="shared" ref="T221:T225" si="121">S221*10/100</f>
        <v>3000</v>
      </c>
      <c r="U221" s="63">
        <f t="shared" si="119"/>
        <v>33200</v>
      </c>
      <c r="V221" s="44"/>
      <c r="W221" s="44"/>
      <c r="X221" s="54">
        <v>0</v>
      </c>
      <c r="Y221" s="89">
        <f t="shared" si="101"/>
        <v>0</v>
      </c>
      <c r="Z221" s="91">
        <v>0</v>
      </c>
      <c r="AA221" s="91">
        <f t="shared" si="120"/>
        <v>0</v>
      </c>
      <c r="AB221" s="91"/>
      <c r="AC221" s="54">
        <v>34500</v>
      </c>
      <c r="AD221" s="54">
        <f>S221*1.15-AC221</f>
        <v>0</v>
      </c>
      <c r="AE221" s="53">
        <f>S221*1.15+X221-AB221-AC221</f>
        <v>0</v>
      </c>
      <c r="AF221" s="52" t="b">
        <v>0</v>
      </c>
      <c r="AG221" s="52"/>
      <c r="AH221" s="52"/>
      <c r="AI221" s="52"/>
      <c r="AJ221" s="52"/>
      <c r="AK221" s="52"/>
      <c r="AL221" s="52"/>
      <c r="AM221" s="52" t="b">
        <v>0</v>
      </c>
      <c r="AN221" s="52"/>
      <c r="AO221" s="52"/>
      <c r="AP221" s="52"/>
      <c r="AQ221" s="52"/>
      <c r="AR221" s="52"/>
      <c r="AS221" s="52" t="b">
        <v>0</v>
      </c>
      <c r="AT221" s="54"/>
      <c r="AU221" s="54"/>
      <c r="AV221" s="54"/>
      <c r="AW221" s="54"/>
      <c r="AX221" s="54" t="str">
        <f t="shared" si="103"/>
        <v>ملتزم</v>
      </c>
      <c r="AY221" s="54" t="s">
        <v>77</v>
      </c>
      <c r="AZ221" s="43" t="s">
        <v>107</v>
      </c>
      <c r="BA221" s="55"/>
      <c r="BB221" s="55"/>
      <c r="BC221" s="55"/>
      <c r="BD221" s="54"/>
      <c r="BE221" s="68">
        <v>18975</v>
      </c>
      <c r="BF221" s="54"/>
      <c r="BG221" s="54"/>
      <c r="BH221" s="54"/>
      <c r="BI221" s="54" t="s">
        <v>76</v>
      </c>
      <c r="BJ221" s="54">
        <f>(U221+V221+AE221)-BD221-BE221</f>
        <v>14225</v>
      </c>
      <c r="BK221" s="54" t="s">
        <v>113</v>
      </c>
    </row>
    <row r="222" spans="1:63" ht="34.5" hidden="1" customHeight="1" x14ac:dyDescent="0.25">
      <c r="A222" s="35">
        <f t="shared" si="113"/>
        <v>46</v>
      </c>
      <c r="B222" s="57" t="s">
        <v>466</v>
      </c>
      <c r="C222" s="57"/>
      <c r="D222" s="37" t="s">
        <v>106</v>
      </c>
      <c r="E222" s="81" t="b">
        <v>0</v>
      </c>
      <c r="F222" s="81"/>
      <c r="G222" s="65">
        <v>46022</v>
      </c>
      <c r="H222" s="42">
        <v>1</v>
      </c>
      <c r="I222" s="42">
        <v>4</v>
      </c>
      <c r="J222" s="59" t="s">
        <v>465</v>
      </c>
      <c r="K222" s="61">
        <v>7007705572</v>
      </c>
      <c r="L222" s="61">
        <v>5966250966</v>
      </c>
      <c r="M222" s="61">
        <v>1125700276</v>
      </c>
      <c r="N222" s="35" t="s">
        <v>73</v>
      </c>
      <c r="O222" s="42" t="s">
        <v>74</v>
      </c>
      <c r="P222" s="35"/>
      <c r="Q222" s="35"/>
      <c r="R222" s="35">
        <v>72.599999999999994</v>
      </c>
      <c r="S222" s="62">
        <v>23000</v>
      </c>
      <c r="T222" s="44">
        <f t="shared" si="121"/>
        <v>2300</v>
      </c>
      <c r="U222" s="63">
        <f t="shared" ref="U222:U225" si="122">S222+T222</f>
        <v>25300</v>
      </c>
      <c r="V222" s="99"/>
      <c r="W222" s="99"/>
      <c r="X222" s="51">
        <v>0</v>
      </c>
      <c r="Y222" s="48">
        <f t="shared" si="101"/>
        <v>0</v>
      </c>
      <c r="Z222" s="49">
        <v>0</v>
      </c>
      <c r="AA222" s="50">
        <f t="shared" si="120"/>
        <v>0</v>
      </c>
      <c r="AB222" s="50"/>
      <c r="AC222" s="51">
        <v>26450</v>
      </c>
      <c r="AD222" s="52">
        <f>S222*1.15-AC222</f>
        <v>0</v>
      </c>
      <c r="AE222" s="53">
        <f>S222*1.15+X222-AB222-AC222</f>
        <v>0</v>
      </c>
      <c r="AF222" s="52" t="b">
        <v>0</v>
      </c>
      <c r="AG222" s="52"/>
      <c r="AH222" s="52"/>
      <c r="AI222" s="52"/>
      <c r="AJ222" s="52"/>
      <c r="AK222" s="52"/>
      <c r="AL222" s="52"/>
      <c r="AM222" s="52" t="b">
        <v>0</v>
      </c>
      <c r="AN222" s="52"/>
      <c r="AO222" s="52"/>
      <c r="AP222" s="52"/>
      <c r="AQ222" s="52"/>
      <c r="AR222" s="52"/>
      <c r="AS222" s="52" t="b">
        <v>0</v>
      </c>
      <c r="AT222" s="52"/>
      <c r="AU222" s="52"/>
      <c r="AV222" s="52"/>
      <c r="AW222" s="52"/>
      <c r="AX222" s="52" t="str">
        <f t="shared" si="103"/>
        <v>ملتزم</v>
      </c>
      <c r="AY222" s="54" t="s">
        <v>192</v>
      </c>
      <c r="AZ222" s="43" t="s">
        <v>107</v>
      </c>
      <c r="BA222" s="70">
        <f>450*R222</f>
        <v>32669.999999999996</v>
      </c>
      <c r="BB222" s="70"/>
      <c r="BC222" s="70"/>
      <c r="BD222" s="54"/>
      <c r="BE222" s="68">
        <v>12219</v>
      </c>
      <c r="BF222" s="54"/>
      <c r="BG222" s="54"/>
      <c r="BH222" s="54"/>
      <c r="BI222" s="54" t="s">
        <v>72</v>
      </c>
      <c r="BJ222" s="54">
        <f>(U222+V222+AE222)-BD222-BE222</f>
        <v>13081</v>
      </c>
      <c r="BK222" s="54"/>
    </row>
    <row r="223" spans="1:63" ht="34.5" hidden="1" customHeight="1" x14ac:dyDescent="0.25">
      <c r="A223" s="35">
        <f t="shared" si="113"/>
        <v>47</v>
      </c>
      <c r="B223" s="35" t="s">
        <v>467</v>
      </c>
      <c r="C223" s="57">
        <v>20728058739</v>
      </c>
      <c r="D223" s="37" t="s">
        <v>106</v>
      </c>
      <c r="E223" s="37" t="b">
        <v>0</v>
      </c>
      <c r="F223" s="37"/>
      <c r="G223" s="65">
        <v>46022</v>
      </c>
      <c r="H223" s="42">
        <v>1</v>
      </c>
      <c r="I223" s="42">
        <v>13</v>
      </c>
      <c r="J223" s="59" t="s">
        <v>465</v>
      </c>
      <c r="K223" s="60">
        <v>7007705572</v>
      </c>
      <c r="L223" s="159">
        <v>502147717</v>
      </c>
      <c r="M223" s="61">
        <v>1125700276</v>
      </c>
      <c r="N223" s="35" t="s">
        <v>73</v>
      </c>
      <c r="O223" s="42" t="s">
        <v>74</v>
      </c>
      <c r="P223" s="35"/>
      <c r="Q223" s="35"/>
      <c r="R223" s="35">
        <v>77.8</v>
      </c>
      <c r="S223" s="62">
        <v>30000</v>
      </c>
      <c r="T223" s="44">
        <f t="shared" si="121"/>
        <v>3000</v>
      </c>
      <c r="U223" s="63">
        <f t="shared" si="122"/>
        <v>33000</v>
      </c>
      <c r="V223" s="64"/>
      <c r="W223" s="64"/>
      <c r="X223" s="51">
        <v>0</v>
      </c>
      <c r="Y223" s="48">
        <f t="shared" si="101"/>
        <v>0</v>
      </c>
      <c r="Z223" s="49">
        <v>0</v>
      </c>
      <c r="AA223" s="50">
        <f t="shared" si="120"/>
        <v>0</v>
      </c>
      <c r="AB223" s="50"/>
      <c r="AC223" s="51">
        <v>34500</v>
      </c>
      <c r="AD223" s="52">
        <f>S223*1.15-AC223</f>
        <v>0</v>
      </c>
      <c r="AE223" s="53">
        <f>S223*1.15+X223-AB223-AC223</f>
        <v>0</v>
      </c>
      <c r="AF223" s="52" t="b">
        <v>0</v>
      </c>
      <c r="AG223" s="52"/>
      <c r="AH223" s="52"/>
      <c r="AI223" s="52"/>
      <c r="AJ223" s="52"/>
      <c r="AK223" s="52"/>
      <c r="AL223" s="52"/>
      <c r="AM223" s="52" t="b">
        <v>0</v>
      </c>
      <c r="AN223" s="52"/>
      <c r="AO223" s="52"/>
      <c r="AP223" s="52"/>
      <c r="AQ223" s="52"/>
      <c r="AR223" s="52"/>
      <c r="AS223" s="52" t="b">
        <v>0</v>
      </c>
      <c r="AT223" s="52"/>
      <c r="AU223" s="52"/>
      <c r="AV223" s="52"/>
      <c r="AW223" s="52"/>
      <c r="AX223" s="52" t="str">
        <f t="shared" si="103"/>
        <v>ملتزم</v>
      </c>
      <c r="AY223" s="54" t="s">
        <v>69</v>
      </c>
      <c r="AZ223" s="43" t="s">
        <v>107</v>
      </c>
      <c r="BA223" s="55"/>
      <c r="BB223" s="55"/>
      <c r="BC223" s="55"/>
      <c r="BD223" s="54"/>
      <c r="BE223" s="68">
        <v>20000</v>
      </c>
      <c r="BF223" s="54"/>
      <c r="BG223" s="54"/>
      <c r="BH223" s="54"/>
      <c r="BI223" s="54" t="s">
        <v>72</v>
      </c>
      <c r="BJ223" s="54">
        <f>(U223+V223+AE223)-BD223-BE223</f>
        <v>13000</v>
      </c>
      <c r="BK223" s="54" t="s">
        <v>468</v>
      </c>
    </row>
    <row r="224" spans="1:63" ht="34.5" hidden="1" customHeight="1" x14ac:dyDescent="0.25">
      <c r="A224" s="35">
        <f t="shared" si="113"/>
        <v>48</v>
      </c>
      <c r="B224" s="35" t="s">
        <v>469</v>
      </c>
      <c r="C224" s="105">
        <v>20812145110</v>
      </c>
      <c r="D224" s="37" t="s">
        <v>106</v>
      </c>
      <c r="E224" s="37" t="b">
        <v>0</v>
      </c>
      <c r="F224" s="37"/>
      <c r="G224" s="65">
        <v>46022</v>
      </c>
      <c r="H224" s="35">
        <v>2</v>
      </c>
      <c r="I224" s="35" t="s">
        <v>470</v>
      </c>
      <c r="J224" s="160" t="s">
        <v>471</v>
      </c>
      <c r="K224" s="161">
        <v>7008247319</v>
      </c>
      <c r="L224" s="161">
        <v>507160016</v>
      </c>
      <c r="M224" s="161">
        <v>1089184061</v>
      </c>
      <c r="N224" s="35" t="s">
        <v>73</v>
      </c>
      <c r="O224" s="35" t="s">
        <v>97</v>
      </c>
      <c r="P224" s="35">
        <v>10.6</v>
      </c>
      <c r="Q224" s="35">
        <v>4.6500000000000004</v>
      </c>
      <c r="R224" s="35">
        <f t="shared" ref="R224:R225" si="123">P224*Q224</f>
        <v>49.29</v>
      </c>
      <c r="S224" s="43">
        <v>68000</v>
      </c>
      <c r="T224" s="44">
        <f t="shared" si="121"/>
        <v>6800</v>
      </c>
      <c r="U224" s="63">
        <f t="shared" si="122"/>
        <v>74800</v>
      </c>
      <c r="V224" s="140"/>
      <c r="W224" s="140"/>
      <c r="X224" s="52">
        <v>0</v>
      </c>
      <c r="Y224" s="48">
        <f t="shared" si="101"/>
        <v>0</v>
      </c>
      <c r="Z224" s="50">
        <v>0</v>
      </c>
      <c r="AA224" s="50">
        <f t="shared" si="120"/>
        <v>0</v>
      </c>
      <c r="AB224" s="50"/>
      <c r="AC224" s="52">
        <v>78200</v>
      </c>
      <c r="AD224" s="52">
        <f>S224*1.15-AC224</f>
        <v>0</v>
      </c>
      <c r="AE224" s="52">
        <f>S224*1.15+X224-AB224-AC224</f>
        <v>0</v>
      </c>
      <c r="AF224" s="52" t="b">
        <v>0</v>
      </c>
      <c r="AG224" s="52"/>
      <c r="AH224" s="52"/>
      <c r="AI224" s="52"/>
      <c r="AJ224" s="52"/>
      <c r="AK224" s="52"/>
      <c r="AL224" s="52"/>
      <c r="AM224" s="52" t="b">
        <v>0</v>
      </c>
      <c r="AN224" s="52"/>
      <c r="AO224" s="52"/>
      <c r="AP224" s="52"/>
      <c r="AQ224" s="52"/>
      <c r="AR224" s="52"/>
      <c r="AS224" s="52" t="b">
        <v>0</v>
      </c>
      <c r="AT224" s="52"/>
      <c r="AU224" s="52"/>
      <c r="AV224" s="52"/>
      <c r="AW224" s="52"/>
      <c r="AX224" s="52" t="str">
        <f t="shared" si="103"/>
        <v>ملتزم</v>
      </c>
      <c r="AY224" s="54" t="s">
        <v>77</v>
      </c>
      <c r="AZ224" s="43" t="s">
        <v>107</v>
      </c>
      <c r="BA224" s="55"/>
      <c r="BB224" s="55"/>
      <c r="BC224" s="55"/>
      <c r="BD224" s="54"/>
      <c r="BE224" s="68">
        <v>50314</v>
      </c>
      <c r="BF224" s="54"/>
      <c r="BG224" s="54"/>
      <c r="BH224" s="54"/>
      <c r="BI224" s="54" t="s">
        <v>112</v>
      </c>
      <c r="BJ224" s="54">
        <f>(U224+V224+AE224)-BD224-BE224</f>
        <v>24486</v>
      </c>
      <c r="BK224" s="54"/>
    </row>
    <row r="225" spans="1:63" ht="34.5" hidden="1" customHeight="1" x14ac:dyDescent="0.25">
      <c r="A225" s="35">
        <f t="shared" si="113"/>
        <v>49</v>
      </c>
      <c r="B225" s="35" t="s">
        <v>472</v>
      </c>
      <c r="C225" s="105">
        <v>20496472477</v>
      </c>
      <c r="D225" s="37" t="s">
        <v>106</v>
      </c>
      <c r="E225" s="81" t="b">
        <v>0</v>
      </c>
      <c r="F225" s="81"/>
      <c r="G225" s="65">
        <v>46022</v>
      </c>
      <c r="H225" s="35">
        <v>2</v>
      </c>
      <c r="I225" s="125" t="s">
        <v>473</v>
      </c>
      <c r="J225" s="95" t="s">
        <v>474</v>
      </c>
      <c r="K225" s="81">
        <v>7016278645</v>
      </c>
      <c r="L225" s="81">
        <v>551857775</v>
      </c>
      <c r="M225" s="81">
        <v>1016405167</v>
      </c>
      <c r="N225" s="35" t="s">
        <v>73</v>
      </c>
      <c r="O225" s="35" t="s">
        <v>97</v>
      </c>
      <c r="P225" s="35">
        <v>10</v>
      </c>
      <c r="Q225" s="35">
        <v>5.6</v>
      </c>
      <c r="R225" s="35">
        <f t="shared" si="123"/>
        <v>56</v>
      </c>
      <c r="S225" s="44">
        <v>60000</v>
      </c>
      <c r="T225" s="44">
        <f t="shared" si="121"/>
        <v>6000</v>
      </c>
      <c r="U225" s="63">
        <f t="shared" si="122"/>
        <v>66000</v>
      </c>
      <c r="V225" s="106"/>
      <c r="W225" s="106"/>
      <c r="X225" s="52">
        <v>0</v>
      </c>
      <c r="Y225" s="48">
        <f t="shared" si="101"/>
        <v>0</v>
      </c>
      <c r="Z225" s="50">
        <v>0</v>
      </c>
      <c r="AA225" s="50">
        <f t="shared" si="120"/>
        <v>0</v>
      </c>
      <c r="AB225" s="50"/>
      <c r="AC225" s="52">
        <v>56750</v>
      </c>
      <c r="AD225" s="52">
        <v>17250</v>
      </c>
      <c r="AE225" s="53">
        <f>S225*1.15+X225-AB225-AC225</f>
        <v>12250</v>
      </c>
      <c r="AF225" s="52" t="b">
        <v>0</v>
      </c>
      <c r="AG225" s="52"/>
      <c r="AH225" s="52"/>
      <c r="AI225" s="52"/>
      <c r="AJ225" s="52"/>
      <c r="AK225" s="52"/>
      <c r="AL225" s="52"/>
      <c r="AM225" s="52" t="b">
        <v>0</v>
      </c>
      <c r="AN225" s="52"/>
      <c r="AO225" s="52"/>
      <c r="AP225" s="52"/>
      <c r="AQ225" s="52"/>
      <c r="AR225" s="52"/>
      <c r="AS225" s="52" t="b">
        <v>0</v>
      </c>
      <c r="AT225" s="52"/>
      <c r="AU225" s="52"/>
      <c r="AV225" s="52"/>
      <c r="AW225" s="52"/>
      <c r="AX225" s="52" t="str">
        <f t="shared" si="103"/>
        <v>غير ملتزم</v>
      </c>
      <c r="AY225" s="54" t="s">
        <v>77</v>
      </c>
      <c r="AZ225" s="43" t="s">
        <v>107</v>
      </c>
      <c r="BA225" s="55"/>
      <c r="BB225" s="55"/>
      <c r="BC225" s="55"/>
      <c r="BD225" s="54"/>
      <c r="BE225" s="68">
        <v>0</v>
      </c>
      <c r="BF225" s="54"/>
      <c r="BG225" s="54"/>
      <c r="BH225" s="54"/>
      <c r="BI225" s="54" t="s">
        <v>112</v>
      </c>
      <c r="BJ225" s="54">
        <f>(U225+V225+AE225)-BD225-BE225</f>
        <v>78250</v>
      </c>
      <c r="BK225" s="54"/>
    </row>
    <row r="226" spans="1:63" ht="34.5" hidden="1" customHeight="1" x14ac:dyDescent="0.25">
      <c r="A226" s="35">
        <f t="shared" si="113"/>
        <v>50</v>
      </c>
      <c r="B226" s="35" t="s">
        <v>63</v>
      </c>
      <c r="C226" s="105"/>
      <c r="D226" s="37"/>
      <c r="E226" s="81" t="b">
        <v>0</v>
      </c>
      <c r="F226" s="81"/>
      <c r="G226" s="135"/>
      <c r="H226" s="35">
        <v>1</v>
      </c>
      <c r="I226" s="125" t="s">
        <v>475</v>
      </c>
      <c r="J226" s="95"/>
      <c r="K226" s="114"/>
      <c r="L226" s="114"/>
      <c r="M226" s="81"/>
      <c r="N226" s="35" t="s">
        <v>64</v>
      </c>
      <c r="O226" s="35" t="s">
        <v>84</v>
      </c>
      <c r="P226" s="35"/>
      <c r="Q226" s="35"/>
      <c r="R226" s="35">
        <v>104</v>
      </c>
      <c r="S226" s="44">
        <v>40968.75</v>
      </c>
      <c r="T226" s="44">
        <v>4500</v>
      </c>
      <c r="U226" s="63">
        <v>27200</v>
      </c>
      <c r="V226" s="106"/>
      <c r="W226" s="106"/>
      <c r="X226" s="52">
        <v>0</v>
      </c>
      <c r="Y226" s="48">
        <f t="shared" si="101"/>
        <v>0</v>
      </c>
      <c r="Z226" s="50">
        <v>0</v>
      </c>
      <c r="AA226" s="50">
        <f t="shared" si="120"/>
        <v>0</v>
      </c>
      <c r="AB226" s="50"/>
      <c r="AC226" s="52">
        <v>30187.5</v>
      </c>
      <c r="AD226" s="52">
        <v>10781.25</v>
      </c>
      <c r="AE226" s="53"/>
      <c r="AF226" s="52" t="b">
        <v>0</v>
      </c>
      <c r="AG226" s="52"/>
      <c r="AH226" s="52"/>
      <c r="AI226" s="52"/>
      <c r="AJ226" s="52"/>
      <c r="AK226" s="52"/>
      <c r="AL226" s="52"/>
      <c r="AM226" s="52" t="b">
        <v>0</v>
      </c>
      <c r="AN226" s="52"/>
      <c r="AO226" s="52"/>
      <c r="AP226" s="52"/>
      <c r="AQ226" s="52"/>
      <c r="AR226" s="52"/>
      <c r="AS226" s="52" t="b">
        <v>0</v>
      </c>
      <c r="AT226" s="52"/>
      <c r="AU226" s="52"/>
      <c r="AV226" s="52"/>
      <c r="AW226" s="52"/>
      <c r="AX226" s="52" t="str">
        <f t="shared" si="103"/>
        <v>ملتزم</v>
      </c>
      <c r="AY226" s="54" t="s">
        <v>77</v>
      </c>
      <c r="AZ226" s="43" t="s">
        <v>107</v>
      </c>
      <c r="BA226" s="55"/>
      <c r="BB226" s="55"/>
      <c r="BC226" s="55"/>
      <c r="BD226" s="54"/>
      <c r="BE226" s="54"/>
      <c r="BF226" s="54"/>
      <c r="BG226" s="54"/>
      <c r="BH226" s="54"/>
      <c r="BI226" s="52" t="s">
        <v>72</v>
      </c>
      <c r="BJ226" s="54">
        <f>(U226+V226+AE226)-BD226-BE226</f>
        <v>27200</v>
      </c>
      <c r="BK226" s="54"/>
    </row>
    <row r="227" spans="1:63" ht="34.5" hidden="1" customHeight="1" x14ac:dyDescent="0.25">
      <c r="A227" s="35">
        <f t="shared" si="113"/>
        <v>51</v>
      </c>
      <c r="B227" s="35" t="s">
        <v>476</v>
      </c>
      <c r="C227" s="105">
        <v>20205787331</v>
      </c>
      <c r="D227" s="37" t="s">
        <v>106</v>
      </c>
      <c r="E227" s="81" t="b">
        <v>0</v>
      </c>
      <c r="F227" s="81"/>
      <c r="G227" s="113">
        <v>46022</v>
      </c>
      <c r="H227" s="35">
        <v>1</v>
      </c>
      <c r="I227" s="35">
        <v>255</v>
      </c>
      <c r="J227" s="95" t="s">
        <v>477</v>
      </c>
      <c r="K227" s="81">
        <v>7016705027</v>
      </c>
      <c r="L227" s="81">
        <v>592272732</v>
      </c>
      <c r="M227" s="81">
        <v>1026518769</v>
      </c>
      <c r="N227" s="35" t="s">
        <v>73</v>
      </c>
      <c r="O227" s="35" t="s">
        <v>97</v>
      </c>
      <c r="P227" s="35">
        <v>4</v>
      </c>
      <c r="Q227" s="35">
        <v>4</v>
      </c>
      <c r="R227" s="35">
        <f t="shared" ref="R227:R228" si="124">P227*Q227</f>
        <v>16</v>
      </c>
      <c r="S227" s="44">
        <v>30000</v>
      </c>
      <c r="T227" s="44">
        <f t="shared" ref="T227:T228" si="125">S227*10/100</f>
        <v>3000</v>
      </c>
      <c r="U227" s="63">
        <f t="shared" ref="U227:U228" si="126">S227+T227+200</f>
        <v>33200</v>
      </c>
      <c r="V227" s="44"/>
      <c r="W227" s="44"/>
      <c r="X227" s="54">
        <v>0</v>
      </c>
      <c r="Y227" s="89">
        <f t="shared" si="101"/>
        <v>0</v>
      </c>
      <c r="Z227" s="91">
        <v>0</v>
      </c>
      <c r="AA227" s="91">
        <f t="shared" si="120"/>
        <v>0</v>
      </c>
      <c r="AB227" s="91"/>
      <c r="AC227" s="54">
        <v>34500</v>
      </c>
      <c r="AD227" s="54">
        <f>S227*1.15-AC227</f>
        <v>0</v>
      </c>
      <c r="AE227" s="53">
        <f>S227*1.15+X227-AB227-AC227</f>
        <v>0</v>
      </c>
      <c r="AF227" s="52" t="b">
        <v>0</v>
      </c>
      <c r="AG227" s="52"/>
      <c r="AH227" s="52"/>
      <c r="AI227" s="52"/>
      <c r="AJ227" s="52"/>
      <c r="AK227" s="52"/>
      <c r="AL227" s="52"/>
      <c r="AM227" s="52" t="b">
        <v>0</v>
      </c>
      <c r="AN227" s="52"/>
      <c r="AO227" s="52"/>
      <c r="AP227" s="52"/>
      <c r="AQ227" s="52"/>
      <c r="AR227" s="52"/>
      <c r="AS227" s="52" t="b">
        <v>0</v>
      </c>
      <c r="AT227" s="54"/>
      <c r="AU227" s="54"/>
      <c r="AV227" s="54"/>
      <c r="AW227" s="54"/>
      <c r="AX227" s="54" t="str">
        <f t="shared" si="103"/>
        <v>ملتزم</v>
      </c>
      <c r="AY227" s="54" t="s">
        <v>69</v>
      </c>
      <c r="AZ227" s="43" t="s">
        <v>107</v>
      </c>
      <c r="BA227" s="55"/>
      <c r="BB227" s="55"/>
      <c r="BC227" s="55"/>
      <c r="BD227" s="54"/>
      <c r="BE227" s="68">
        <v>28635</v>
      </c>
      <c r="BF227" s="54"/>
      <c r="BG227" s="54"/>
      <c r="BH227" s="54"/>
      <c r="BI227" s="54" t="s">
        <v>76</v>
      </c>
      <c r="BJ227" s="54">
        <f>(U227+V227+AE227)-BD227-BE227</f>
        <v>4565</v>
      </c>
      <c r="BK227" s="54" t="s">
        <v>113</v>
      </c>
    </row>
    <row r="228" spans="1:63" ht="34.5" hidden="1" customHeight="1" x14ac:dyDescent="0.25">
      <c r="A228" s="35">
        <f t="shared" si="113"/>
        <v>52</v>
      </c>
      <c r="B228" s="35" t="s">
        <v>478</v>
      </c>
      <c r="C228" s="105">
        <v>20252512184</v>
      </c>
      <c r="D228" s="37" t="s">
        <v>106</v>
      </c>
      <c r="E228" s="81" t="b">
        <v>0</v>
      </c>
      <c r="F228" s="81"/>
      <c r="G228" s="113">
        <v>46022</v>
      </c>
      <c r="H228" s="35">
        <v>1</v>
      </c>
      <c r="I228" s="35">
        <v>283</v>
      </c>
      <c r="J228" s="95" t="s">
        <v>479</v>
      </c>
      <c r="K228" s="81">
        <v>7003042269</v>
      </c>
      <c r="L228" s="81">
        <v>565330880</v>
      </c>
      <c r="M228" s="81">
        <v>1096922149</v>
      </c>
      <c r="N228" s="35" t="s">
        <v>73</v>
      </c>
      <c r="O228" s="35" t="s">
        <v>97</v>
      </c>
      <c r="P228" s="35">
        <v>5</v>
      </c>
      <c r="Q228" s="35">
        <v>3.6</v>
      </c>
      <c r="R228" s="35">
        <f t="shared" si="124"/>
        <v>18</v>
      </c>
      <c r="S228" s="44">
        <v>30000</v>
      </c>
      <c r="T228" s="44">
        <f t="shared" si="125"/>
        <v>3000</v>
      </c>
      <c r="U228" s="63">
        <f t="shared" si="126"/>
        <v>33200</v>
      </c>
      <c r="V228" s="44"/>
      <c r="W228" s="44"/>
      <c r="X228" s="115"/>
      <c r="Y228" s="89">
        <f t="shared" si="101"/>
        <v>0</v>
      </c>
      <c r="Z228" s="91"/>
      <c r="AA228" s="91"/>
      <c r="AB228" s="91"/>
      <c r="AC228" s="54">
        <v>34500</v>
      </c>
      <c r="AD228" s="54">
        <f>S228*1.15-AC228</f>
        <v>0</v>
      </c>
      <c r="AE228" s="53">
        <f>S228*1.15+X228-AB228-AC228</f>
        <v>0</v>
      </c>
      <c r="AF228" s="54" t="b">
        <v>1</v>
      </c>
      <c r="AG228" s="134">
        <v>45698</v>
      </c>
      <c r="AH228" s="54">
        <v>19090</v>
      </c>
      <c r="AI228" s="54" t="s">
        <v>68</v>
      </c>
      <c r="AJ228" s="52" t="s">
        <v>136</v>
      </c>
      <c r="AK228" s="128" t="s">
        <v>480</v>
      </c>
      <c r="AL228" s="128"/>
      <c r="AM228" s="54" t="b">
        <v>0</v>
      </c>
      <c r="AN228" s="126" t="s">
        <v>152</v>
      </c>
      <c r="AO228" s="54">
        <v>19090</v>
      </c>
      <c r="AP228" s="54"/>
      <c r="AQ228" s="54"/>
      <c r="AR228" s="54"/>
      <c r="AS228" s="54" t="b">
        <v>0</v>
      </c>
      <c r="AT228" s="54"/>
      <c r="AU228" s="54"/>
      <c r="AV228" s="54"/>
      <c r="AW228" s="54"/>
      <c r="AX228" s="54" t="str">
        <f t="shared" si="103"/>
        <v>ملتزم</v>
      </c>
      <c r="AY228" s="54" t="s">
        <v>77</v>
      </c>
      <c r="AZ228" s="43" t="s">
        <v>107</v>
      </c>
      <c r="BA228" s="55"/>
      <c r="BB228" s="55"/>
      <c r="BC228" s="55"/>
      <c r="BD228" s="54"/>
      <c r="BE228" s="68">
        <v>19090</v>
      </c>
      <c r="BF228" s="54"/>
      <c r="BG228" s="54"/>
      <c r="BH228" s="54"/>
      <c r="BI228" s="54" t="s">
        <v>72</v>
      </c>
      <c r="BJ228" s="54">
        <f>(U228+V228+AE228)-BD228-BE228</f>
        <v>14110</v>
      </c>
      <c r="BK228" s="54" t="s">
        <v>113</v>
      </c>
    </row>
    <row r="229" spans="1:63" ht="34.5" hidden="1" customHeight="1" x14ac:dyDescent="0.25">
      <c r="A229" s="35">
        <f t="shared" si="113"/>
        <v>53</v>
      </c>
      <c r="B229" s="35" t="s">
        <v>481</v>
      </c>
      <c r="C229" s="105"/>
      <c r="D229" s="37" t="s">
        <v>106</v>
      </c>
      <c r="E229" s="81" t="b">
        <v>0</v>
      </c>
      <c r="F229" s="81"/>
      <c r="G229" s="135" t="s">
        <v>482</v>
      </c>
      <c r="H229" s="35">
        <v>1</v>
      </c>
      <c r="I229" s="35" t="s">
        <v>483</v>
      </c>
      <c r="J229" s="95" t="s">
        <v>484</v>
      </c>
      <c r="K229" s="114">
        <v>7041187662</v>
      </c>
      <c r="L229" s="114">
        <v>551555350</v>
      </c>
      <c r="M229" s="81">
        <v>1069846440</v>
      </c>
      <c r="N229" s="35" t="s">
        <v>64</v>
      </c>
      <c r="O229" s="35" t="s">
        <v>84</v>
      </c>
      <c r="P229" s="35"/>
      <c r="Q229" s="35"/>
      <c r="R229" s="35">
        <v>52</v>
      </c>
      <c r="S229" s="44">
        <v>22500</v>
      </c>
      <c r="T229" s="44">
        <v>4500</v>
      </c>
      <c r="U229" s="63">
        <v>27200</v>
      </c>
      <c r="V229" s="106"/>
      <c r="W229" s="106"/>
      <c r="X229" s="52"/>
      <c r="Y229" s="48"/>
      <c r="Z229" s="50"/>
      <c r="AA229" s="50"/>
      <c r="AB229" s="50"/>
      <c r="AC229" s="52">
        <v>10785</v>
      </c>
      <c r="AD229" s="52">
        <v>0</v>
      </c>
      <c r="AE229" s="53"/>
      <c r="AF229" s="52" t="b">
        <v>0</v>
      </c>
      <c r="AG229" s="52"/>
      <c r="AH229" s="52"/>
      <c r="AI229" s="52"/>
      <c r="AJ229" s="52"/>
      <c r="AK229" s="52"/>
      <c r="AL229" s="52"/>
      <c r="AM229" s="52" t="b">
        <v>0</v>
      </c>
      <c r="AN229" s="52"/>
      <c r="AO229" s="52"/>
      <c r="AP229" s="52"/>
      <c r="AQ229" s="52"/>
      <c r="AR229" s="52"/>
      <c r="AS229" s="52" t="b">
        <v>0</v>
      </c>
      <c r="AT229" s="52"/>
      <c r="AU229" s="52"/>
      <c r="AV229" s="52"/>
      <c r="AW229" s="52"/>
      <c r="AX229" s="52"/>
      <c r="AY229" s="54"/>
      <c r="AZ229" s="43" t="s">
        <v>107</v>
      </c>
      <c r="BA229" s="55"/>
      <c r="BB229" s="55"/>
      <c r="BC229" s="55"/>
      <c r="BD229" s="54"/>
      <c r="BE229" s="54"/>
      <c r="BF229" s="54"/>
      <c r="BG229" s="54"/>
      <c r="BH229" s="54"/>
      <c r="BI229" s="52"/>
      <c r="BJ229" s="54"/>
      <c r="BK229" s="54"/>
    </row>
    <row r="230" spans="1:63" ht="34.5" hidden="1" customHeight="1" x14ac:dyDescent="0.25">
      <c r="A230" s="35">
        <f t="shared" si="113"/>
        <v>54</v>
      </c>
      <c r="B230" s="35" t="s">
        <v>485</v>
      </c>
      <c r="C230" s="105">
        <v>20565715379</v>
      </c>
      <c r="D230" s="37" t="s">
        <v>106</v>
      </c>
      <c r="E230" s="81" t="b">
        <v>0</v>
      </c>
      <c r="F230" s="81"/>
      <c r="G230" s="113">
        <v>46022</v>
      </c>
      <c r="H230" s="35">
        <v>1</v>
      </c>
      <c r="I230" s="35">
        <v>284</v>
      </c>
      <c r="J230" s="95" t="s">
        <v>484</v>
      </c>
      <c r="K230" s="81">
        <v>7041187662</v>
      </c>
      <c r="L230" s="81">
        <v>551555350</v>
      </c>
      <c r="M230" s="81">
        <v>1069846440</v>
      </c>
      <c r="N230" s="35" t="s">
        <v>73</v>
      </c>
      <c r="O230" s="35" t="s">
        <v>97</v>
      </c>
      <c r="P230" s="35">
        <v>5</v>
      </c>
      <c r="Q230" s="35">
        <v>3.6</v>
      </c>
      <c r="R230" s="35">
        <f t="shared" ref="R230:R239" si="127">P230*Q230</f>
        <v>18</v>
      </c>
      <c r="S230" s="44">
        <v>30000</v>
      </c>
      <c r="T230" s="44">
        <f t="shared" ref="T230:T240" si="128">S230*10/100</f>
        <v>3000</v>
      </c>
      <c r="U230" s="63">
        <f>S230+T230+200</f>
        <v>33200</v>
      </c>
      <c r="V230" s="44"/>
      <c r="W230" s="44"/>
      <c r="X230" s="54">
        <v>0</v>
      </c>
      <c r="Y230" s="89">
        <f t="shared" ref="Y230:Y274" si="129">X230/1.15</f>
        <v>0</v>
      </c>
      <c r="Z230" s="91">
        <v>0</v>
      </c>
      <c r="AA230" s="91">
        <f t="shared" ref="AA230:AA235" si="130">Z230/1.15</f>
        <v>0</v>
      </c>
      <c r="AB230" s="91"/>
      <c r="AC230" s="54">
        <v>34500</v>
      </c>
      <c r="AD230" s="54">
        <f>S230*1.15-AC230</f>
        <v>0</v>
      </c>
      <c r="AE230" s="53">
        <f>S230*1.15+X230-AB230-AC230</f>
        <v>0</v>
      </c>
      <c r="AF230" s="52" t="b">
        <v>0</v>
      </c>
      <c r="AG230" s="52"/>
      <c r="AH230" s="52"/>
      <c r="AI230" s="52"/>
      <c r="AJ230" s="52"/>
      <c r="AK230" s="52"/>
      <c r="AL230" s="52"/>
      <c r="AM230" s="52" t="b">
        <v>0</v>
      </c>
      <c r="AN230" s="52"/>
      <c r="AO230" s="52"/>
      <c r="AP230" s="52"/>
      <c r="AQ230" s="52"/>
      <c r="AR230" s="52"/>
      <c r="AS230" s="52" t="b">
        <v>0</v>
      </c>
      <c r="AT230" s="54"/>
      <c r="AU230" s="54"/>
      <c r="AV230" s="54"/>
      <c r="AW230" s="54"/>
      <c r="AX230" s="54" t="str">
        <f t="shared" ref="AX230:AX274" si="131">IF(AE230&lt;=0,"ملتزم","غير ملتزم")</f>
        <v>ملتزم</v>
      </c>
      <c r="AY230" s="54" t="s">
        <v>69</v>
      </c>
      <c r="AZ230" s="43" t="s">
        <v>107</v>
      </c>
      <c r="BA230" s="55"/>
      <c r="BB230" s="55"/>
      <c r="BC230" s="55"/>
      <c r="BD230" s="54"/>
      <c r="BE230" s="68">
        <v>19090</v>
      </c>
      <c r="BF230" s="54"/>
      <c r="BG230" s="54"/>
      <c r="BH230" s="54"/>
      <c r="BI230" s="54" t="s">
        <v>112</v>
      </c>
      <c r="BJ230" s="54">
        <f>(U230+V230+AE230)-BD230-BE230</f>
        <v>14110</v>
      </c>
      <c r="BK230" s="54" t="s">
        <v>113</v>
      </c>
    </row>
    <row r="231" spans="1:63" ht="34.5" hidden="1" customHeight="1" x14ac:dyDescent="0.25">
      <c r="A231" s="35">
        <f>1+A229</f>
        <v>54</v>
      </c>
      <c r="B231" s="35" t="s">
        <v>486</v>
      </c>
      <c r="C231" s="105">
        <v>20485803837</v>
      </c>
      <c r="D231" s="61" t="s">
        <v>100</v>
      </c>
      <c r="E231" s="61" t="b">
        <v>0</v>
      </c>
      <c r="F231" s="61"/>
      <c r="G231" s="65">
        <v>45657</v>
      </c>
      <c r="H231" s="35">
        <v>2</v>
      </c>
      <c r="I231" s="35" t="s">
        <v>487</v>
      </c>
      <c r="J231" s="93" t="s">
        <v>357</v>
      </c>
      <c r="K231" s="85">
        <v>7030247568</v>
      </c>
      <c r="L231" s="81">
        <v>506649896</v>
      </c>
      <c r="M231" s="81">
        <v>1089007692</v>
      </c>
      <c r="N231" s="35" t="s">
        <v>73</v>
      </c>
      <c r="O231" s="35" t="s">
        <v>97</v>
      </c>
      <c r="P231" s="35">
        <v>10.65</v>
      </c>
      <c r="Q231" s="35">
        <v>4.6500000000000004</v>
      </c>
      <c r="R231" s="35">
        <f t="shared" si="127"/>
        <v>49.522500000000008</v>
      </c>
      <c r="S231" s="43">
        <v>60000</v>
      </c>
      <c r="T231" s="44">
        <f t="shared" si="128"/>
        <v>6000</v>
      </c>
      <c r="U231" s="63">
        <f t="shared" ref="U231:U240" si="132">S231+T231</f>
        <v>66000</v>
      </c>
      <c r="V231" s="106"/>
      <c r="W231" s="106"/>
      <c r="X231" s="45">
        <v>31050</v>
      </c>
      <c r="Y231" s="48">
        <f t="shared" si="129"/>
        <v>27000.000000000004</v>
      </c>
      <c r="Z231" s="50">
        <v>0</v>
      </c>
      <c r="AA231" s="50">
        <f t="shared" si="130"/>
        <v>0</v>
      </c>
      <c r="AB231" s="50"/>
      <c r="AC231" s="52">
        <v>10000</v>
      </c>
      <c r="AD231" s="52">
        <f>S231*1.15-AC231</f>
        <v>59000</v>
      </c>
      <c r="AE231" s="53">
        <v>90242</v>
      </c>
      <c r="AF231" s="52" t="b">
        <v>0</v>
      </c>
      <c r="AG231" s="52"/>
      <c r="AH231" s="52"/>
      <c r="AI231" s="52"/>
      <c r="AJ231" s="52"/>
      <c r="AK231" s="52"/>
      <c r="AL231" s="52"/>
      <c r="AM231" s="52" t="b">
        <v>0</v>
      </c>
      <c r="AN231" s="52"/>
      <c r="AO231" s="52"/>
      <c r="AP231" s="52"/>
      <c r="AQ231" s="52"/>
      <c r="AR231" s="52"/>
      <c r="AS231" s="52" t="b">
        <v>0</v>
      </c>
      <c r="AT231" s="52"/>
      <c r="AU231" s="52"/>
      <c r="AV231" s="52"/>
      <c r="AW231" s="52"/>
      <c r="AX231" s="52" t="str">
        <f t="shared" si="131"/>
        <v>غير ملتزم</v>
      </c>
      <c r="AY231" s="54" t="s">
        <v>77</v>
      </c>
      <c r="AZ231" s="43" t="s">
        <v>86</v>
      </c>
      <c r="BA231" s="55"/>
      <c r="BB231" s="55"/>
      <c r="BC231" s="55"/>
      <c r="BD231" s="54"/>
      <c r="BE231" s="68">
        <v>0</v>
      </c>
      <c r="BF231" s="54"/>
      <c r="BG231" s="54"/>
      <c r="BH231" s="54"/>
      <c r="BI231" s="54" t="s">
        <v>76</v>
      </c>
      <c r="BJ231" s="54">
        <f>(U231+V231+AE231)-BD231-BE231</f>
        <v>156242</v>
      </c>
      <c r="BK231" s="54"/>
    </row>
    <row r="232" spans="1:63" ht="34.5" hidden="1" customHeight="1" x14ac:dyDescent="0.25">
      <c r="A232" s="35">
        <f t="shared" ref="A232:A342" si="133">1+A231</f>
        <v>55</v>
      </c>
      <c r="B232" s="35" t="s">
        <v>488</v>
      </c>
      <c r="C232" s="35"/>
      <c r="D232" s="37" t="s">
        <v>106</v>
      </c>
      <c r="E232" s="81" t="b">
        <v>0</v>
      </c>
      <c r="F232" s="81"/>
      <c r="G232" s="65">
        <v>46022</v>
      </c>
      <c r="H232" s="35">
        <v>2</v>
      </c>
      <c r="I232" s="35" t="s">
        <v>489</v>
      </c>
      <c r="J232" s="95" t="s">
        <v>490</v>
      </c>
      <c r="K232" s="81">
        <v>7007571446</v>
      </c>
      <c r="L232" s="81">
        <v>553738033</v>
      </c>
      <c r="M232" s="81">
        <v>1067407153</v>
      </c>
      <c r="N232" s="35" t="s">
        <v>64</v>
      </c>
      <c r="O232" s="57" t="s">
        <v>84</v>
      </c>
      <c r="P232" s="35">
        <v>18.600000000000001</v>
      </c>
      <c r="Q232" s="35">
        <v>9.5</v>
      </c>
      <c r="R232" s="35">
        <f t="shared" si="127"/>
        <v>176.70000000000002</v>
      </c>
      <c r="S232" s="43">
        <v>50000</v>
      </c>
      <c r="T232" s="44">
        <f t="shared" si="128"/>
        <v>5000</v>
      </c>
      <c r="U232" s="63">
        <f t="shared" si="132"/>
        <v>55000</v>
      </c>
      <c r="V232" s="129">
        <v>79515</v>
      </c>
      <c r="W232" s="129"/>
      <c r="X232" s="52">
        <v>0</v>
      </c>
      <c r="Y232" s="48">
        <f t="shared" si="129"/>
        <v>0</v>
      </c>
      <c r="Z232" s="69">
        <v>0</v>
      </c>
      <c r="AA232" s="50">
        <f t="shared" si="130"/>
        <v>0</v>
      </c>
      <c r="AB232" s="50">
        <v>0</v>
      </c>
      <c r="AC232" s="52">
        <v>57500</v>
      </c>
      <c r="AD232" s="52">
        <f>S232*1.15-AC232</f>
        <v>0</v>
      </c>
      <c r="AE232" s="43">
        <f>S232*1.15+X232-AB232-AC232</f>
        <v>0</v>
      </c>
      <c r="AF232" s="52" t="b">
        <v>0</v>
      </c>
      <c r="AG232" s="52"/>
      <c r="AH232" s="52"/>
      <c r="AI232" s="52"/>
      <c r="AJ232" s="52"/>
      <c r="AK232" s="52"/>
      <c r="AL232" s="52"/>
      <c r="AM232" s="52" t="b">
        <v>0</v>
      </c>
      <c r="AN232" s="52"/>
      <c r="AO232" s="52"/>
      <c r="AP232" s="52"/>
      <c r="AQ232" s="52"/>
      <c r="AR232" s="52"/>
      <c r="AS232" s="52" t="b">
        <v>0</v>
      </c>
      <c r="AT232" s="52"/>
      <c r="AU232" s="52"/>
      <c r="AV232" s="52"/>
      <c r="AW232" s="52"/>
      <c r="AX232" s="52" t="str">
        <f t="shared" si="131"/>
        <v>ملتزم</v>
      </c>
      <c r="AY232" s="54" t="s">
        <v>77</v>
      </c>
      <c r="AZ232" s="43" t="s">
        <v>107</v>
      </c>
      <c r="BA232" s="55"/>
      <c r="BB232" s="55"/>
      <c r="BC232" s="55"/>
      <c r="BD232" s="54"/>
      <c r="BE232" s="54"/>
      <c r="BF232" s="54"/>
      <c r="BG232" s="54"/>
      <c r="BH232" s="54"/>
      <c r="BI232" s="54" t="s">
        <v>76</v>
      </c>
      <c r="BJ232" s="54">
        <f>(U232+V232+AE232)-BD232-BE232</f>
        <v>134515</v>
      </c>
      <c r="BK232" s="54"/>
    </row>
    <row r="233" spans="1:63" ht="34.5" hidden="1" customHeight="1" x14ac:dyDescent="0.25">
      <c r="A233" s="35">
        <f t="shared" si="133"/>
        <v>56</v>
      </c>
      <c r="B233" s="36" t="s">
        <v>491</v>
      </c>
      <c r="C233" s="35"/>
      <c r="D233" s="81" t="s">
        <v>94</v>
      </c>
      <c r="E233" s="81" t="b">
        <v>0</v>
      </c>
      <c r="F233" s="81"/>
      <c r="G233" s="65"/>
      <c r="H233" s="35">
        <v>1</v>
      </c>
      <c r="I233" s="35">
        <v>108</v>
      </c>
      <c r="J233" s="84" t="s">
        <v>492</v>
      </c>
      <c r="K233" s="81">
        <v>7011975369</v>
      </c>
      <c r="L233" s="81">
        <v>553544425</v>
      </c>
      <c r="M233" s="81">
        <v>1065763714</v>
      </c>
      <c r="N233" s="35" t="s">
        <v>64</v>
      </c>
      <c r="O233" s="42" t="s">
        <v>65</v>
      </c>
      <c r="P233" s="35">
        <v>12.4</v>
      </c>
      <c r="Q233" s="35">
        <v>6.6</v>
      </c>
      <c r="R233" s="35">
        <f t="shared" si="127"/>
        <v>81.84</v>
      </c>
      <c r="S233" s="43">
        <v>28000</v>
      </c>
      <c r="T233" s="44">
        <f t="shared" si="128"/>
        <v>2800</v>
      </c>
      <c r="U233" s="63">
        <f t="shared" si="132"/>
        <v>30800</v>
      </c>
      <c r="V233" s="129">
        <v>36828</v>
      </c>
      <c r="W233" s="212"/>
      <c r="X233" s="162">
        <v>2586</v>
      </c>
      <c r="Y233" s="48">
        <f t="shared" si="129"/>
        <v>2248.695652173913</v>
      </c>
      <c r="Z233" s="83">
        <v>0</v>
      </c>
      <c r="AA233" s="50">
        <f t="shared" si="130"/>
        <v>0</v>
      </c>
      <c r="AB233" s="50"/>
      <c r="AC233" s="82">
        <v>0</v>
      </c>
      <c r="AD233" s="52">
        <f>S233*1.15-AC233</f>
        <v>32199.999999999996</v>
      </c>
      <c r="AE233" s="53">
        <v>226699</v>
      </c>
      <c r="AF233" s="52" t="b">
        <v>0</v>
      </c>
      <c r="AG233" s="52"/>
      <c r="AH233" s="52"/>
      <c r="AI233" s="52"/>
      <c r="AJ233" s="52"/>
      <c r="AK233" s="52"/>
      <c r="AL233" s="52"/>
      <c r="AM233" s="52" t="b">
        <v>0</v>
      </c>
      <c r="AN233" s="52"/>
      <c r="AO233" s="52"/>
      <c r="AP233" s="52"/>
      <c r="AQ233" s="52"/>
      <c r="AR233" s="52"/>
      <c r="AS233" s="52" t="b">
        <v>0</v>
      </c>
      <c r="AT233" s="52"/>
      <c r="AU233" s="52"/>
      <c r="AV233" s="52"/>
      <c r="AW233" s="52"/>
      <c r="AX233" s="52" t="str">
        <f t="shared" si="131"/>
        <v>غير ملتزم</v>
      </c>
      <c r="AY233" s="54" t="s">
        <v>140</v>
      </c>
      <c r="AZ233" s="43"/>
      <c r="BA233" s="107" t="s">
        <v>493</v>
      </c>
      <c r="BB233" s="107"/>
      <c r="BC233" s="107"/>
      <c r="BD233" s="54"/>
      <c r="BE233" s="54"/>
      <c r="BF233" s="54"/>
      <c r="BG233" s="54"/>
      <c r="BH233" s="54"/>
      <c r="BI233" s="54" t="s">
        <v>76</v>
      </c>
      <c r="BJ233" s="54">
        <f>(U233+V233+AE233)-BD233-BE233</f>
        <v>294327</v>
      </c>
      <c r="BK233" s="54"/>
    </row>
    <row r="234" spans="1:63" ht="34.5" hidden="1" customHeight="1" x14ac:dyDescent="0.25">
      <c r="A234" s="35">
        <f t="shared" si="133"/>
        <v>57</v>
      </c>
      <c r="B234" s="57" t="s">
        <v>494</v>
      </c>
      <c r="C234" s="57"/>
      <c r="D234" s="61" t="s">
        <v>134</v>
      </c>
      <c r="E234" s="61" t="b">
        <v>0</v>
      </c>
      <c r="F234" s="61"/>
      <c r="G234" s="65"/>
      <c r="H234" s="42">
        <v>2</v>
      </c>
      <c r="I234" s="42" t="s">
        <v>495</v>
      </c>
      <c r="J234" s="61"/>
      <c r="K234" s="61"/>
      <c r="L234" s="61"/>
      <c r="M234" s="61"/>
      <c r="N234" s="35" t="s">
        <v>73</v>
      </c>
      <c r="O234" s="42" t="s">
        <v>74</v>
      </c>
      <c r="P234" s="35">
        <v>24.5</v>
      </c>
      <c r="Q234" s="35">
        <v>17.89</v>
      </c>
      <c r="R234" s="35">
        <f t="shared" si="127"/>
        <v>438.30500000000001</v>
      </c>
      <c r="S234" s="150">
        <v>43000</v>
      </c>
      <c r="T234" s="44">
        <f t="shared" si="128"/>
        <v>4300</v>
      </c>
      <c r="U234" s="63">
        <f t="shared" si="132"/>
        <v>47300</v>
      </c>
      <c r="V234" s="64"/>
      <c r="W234" s="64"/>
      <c r="X234" s="52">
        <v>0</v>
      </c>
      <c r="Y234" s="48">
        <f t="shared" si="129"/>
        <v>0</v>
      </c>
      <c r="Z234" s="69">
        <v>0</v>
      </c>
      <c r="AA234" s="50">
        <f t="shared" si="130"/>
        <v>0</v>
      </c>
      <c r="AB234" s="50"/>
      <c r="AC234" s="52">
        <v>34500</v>
      </c>
      <c r="AD234" s="52">
        <f>S234*1.15-AC234</f>
        <v>14949.999999999993</v>
      </c>
      <c r="AE234" s="53">
        <f>S234*1.15+X234-AB234-AC234</f>
        <v>14949.999999999993</v>
      </c>
      <c r="AF234" s="52" t="b">
        <v>0</v>
      </c>
      <c r="AG234" s="52"/>
      <c r="AH234" s="52"/>
      <c r="AI234" s="52"/>
      <c r="AJ234" s="52"/>
      <c r="AK234" s="52"/>
      <c r="AL234" s="52"/>
      <c r="AM234" s="52" t="b">
        <v>0</v>
      </c>
      <c r="AN234" s="52"/>
      <c r="AO234" s="52"/>
      <c r="AP234" s="52"/>
      <c r="AQ234" s="52"/>
      <c r="AR234" s="52"/>
      <c r="AS234" s="52" t="b">
        <v>0</v>
      </c>
      <c r="AT234" s="52"/>
      <c r="AU234" s="52"/>
      <c r="AV234" s="52"/>
      <c r="AW234" s="52"/>
      <c r="AX234" s="52" t="str">
        <f t="shared" si="131"/>
        <v>غير ملتزم</v>
      </c>
      <c r="AY234" s="54" t="s">
        <v>69</v>
      </c>
      <c r="AZ234" s="43"/>
      <c r="BA234" s="55"/>
      <c r="BB234" s="55"/>
      <c r="BC234" s="55"/>
      <c r="BD234" s="54"/>
      <c r="BE234" s="68">
        <v>0</v>
      </c>
      <c r="BF234" s="54"/>
      <c r="BG234" s="54"/>
      <c r="BH234" s="54"/>
      <c r="BI234" s="54" t="s">
        <v>76</v>
      </c>
      <c r="BJ234" s="54">
        <f>(U234+V234+AE234)-BD234-BE234</f>
        <v>62249.999999999993</v>
      </c>
      <c r="BK234" s="54"/>
    </row>
    <row r="235" spans="1:63" ht="34.5" hidden="1" customHeight="1" x14ac:dyDescent="0.25">
      <c r="A235" s="35">
        <f t="shared" si="133"/>
        <v>58</v>
      </c>
      <c r="B235" s="35" t="s">
        <v>496</v>
      </c>
      <c r="C235" s="105">
        <v>20785053248</v>
      </c>
      <c r="D235" s="37" t="s">
        <v>106</v>
      </c>
      <c r="E235" s="37" t="b">
        <v>0</v>
      </c>
      <c r="F235" s="37"/>
      <c r="G235" s="65">
        <v>46022</v>
      </c>
      <c r="H235" s="35">
        <v>2</v>
      </c>
      <c r="I235" s="35" t="s">
        <v>497</v>
      </c>
      <c r="J235" s="95" t="s">
        <v>498</v>
      </c>
      <c r="K235" s="81">
        <v>7032578424</v>
      </c>
      <c r="L235" s="81">
        <v>555734579</v>
      </c>
      <c r="M235" s="81">
        <v>1108774553</v>
      </c>
      <c r="N235" s="35" t="s">
        <v>73</v>
      </c>
      <c r="O235" s="35" t="s">
        <v>97</v>
      </c>
      <c r="P235" s="35">
        <v>10.65</v>
      </c>
      <c r="Q235" s="35">
        <v>4.6500000000000004</v>
      </c>
      <c r="R235" s="35">
        <f t="shared" si="127"/>
        <v>49.522500000000008</v>
      </c>
      <c r="S235" s="43">
        <v>60000</v>
      </c>
      <c r="T235" s="44">
        <f t="shared" si="128"/>
        <v>6000</v>
      </c>
      <c r="U235" s="63">
        <f t="shared" si="132"/>
        <v>66000</v>
      </c>
      <c r="V235" s="140"/>
      <c r="W235" s="140"/>
      <c r="X235" s="52">
        <v>0</v>
      </c>
      <c r="Y235" s="48">
        <f t="shared" si="129"/>
        <v>0</v>
      </c>
      <c r="Z235" s="50">
        <v>0</v>
      </c>
      <c r="AA235" s="50">
        <f t="shared" si="130"/>
        <v>0</v>
      </c>
      <c r="AB235" s="50">
        <v>0</v>
      </c>
      <c r="AC235" s="52">
        <v>69000</v>
      </c>
      <c r="AD235" s="52">
        <f>S235*1.15-AC235</f>
        <v>0</v>
      </c>
      <c r="AE235" s="53">
        <f>S235*1.15+X235-AB235-AC235</f>
        <v>0</v>
      </c>
      <c r="AF235" s="52" t="b">
        <v>0</v>
      </c>
      <c r="AG235" s="52"/>
      <c r="AH235" s="52"/>
      <c r="AI235" s="52"/>
      <c r="AJ235" s="52"/>
      <c r="AK235" s="52"/>
      <c r="AL235" s="52"/>
      <c r="AM235" s="52" t="b">
        <v>0</v>
      </c>
      <c r="AN235" s="52"/>
      <c r="AO235" s="52"/>
      <c r="AP235" s="52"/>
      <c r="AQ235" s="52"/>
      <c r="AR235" s="52"/>
      <c r="AS235" s="52" t="b">
        <v>0</v>
      </c>
      <c r="AT235" s="52"/>
      <c r="AU235" s="52"/>
      <c r="AV235" s="52"/>
      <c r="AW235" s="52"/>
      <c r="AX235" s="52" t="str">
        <f t="shared" si="131"/>
        <v>ملتزم</v>
      </c>
      <c r="AY235" s="54" t="s">
        <v>77</v>
      </c>
      <c r="AZ235" s="43" t="s">
        <v>107</v>
      </c>
      <c r="BA235" s="70"/>
      <c r="BB235" s="70"/>
      <c r="BC235" s="70"/>
      <c r="BD235" s="54"/>
      <c r="BE235" s="68">
        <v>1725</v>
      </c>
      <c r="BF235" s="54"/>
      <c r="BG235" s="54"/>
      <c r="BH235" s="54"/>
      <c r="BI235" s="52" t="s">
        <v>72</v>
      </c>
      <c r="BJ235" s="54">
        <f>(U235+V235+AE235)-BD235-BE235</f>
        <v>64275</v>
      </c>
      <c r="BK235" s="54" t="s">
        <v>499</v>
      </c>
    </row>
    <row r="236" spans="1:63" ht="34.5" hidden="1" customHeight="1" x14ac:dyDescent="0.25">
      <c r="A236" s="35">
        <f t="shared" si="133"/>
        <v>59</v>
      </c>
      <c r="B236" s="35" t="s">
        <v>500</v>
      </c>
      <c r="C236" s="35"/>
      <c r="D236" s="37" t="s">
        <v>106</v>
      </c>
      <c r="E236" s="81" t="b">
        <v>0</v>
      </c>
      <c r="F236" s="81"/>
      <c r="G236" s="65">
        <v>46022</v>
      </c>
      <c r="H236" s="35">
        <v>1</v>
      </c>
      <c r="I236" s="35">
        <v>113</v>
      </c>
      <c r="J236" s="95" t="s">
        <v>501</v>
      </c>
      <c r="K236" s="81">
        <v>7027904809</v>
      </c>
      <c r="L236" s="81">
        <v>556601703</v>
      </c>
      <c r="M236" s="81">
        <v>1078292024</v>
      </c>
      <c r="N236" s="35" t="s">
        <v>64</v>
      </c>
      <c r="O236" s="42" t="s">
        <v>84</v>
      </c>
      <c r="P236" s="35">
        <v>8</v>
      </c>
      <c r="Q236" s="35">
        <v>8.5</v>
      </c>
      <c r="R236" s="35">
        <f t="shared" si="127"/>
        <v>68</v>
      </c>
      <c r="S236" s="43">
        <v>30000</v>
      </c>
      <c r="T236" s="44">
        <f t="shared" si="128"/>
        <v>3000</v>
      </c>
      <c r="U236" s="63">
        <f t="shared" si="132"/>
        <v>33000</v>
      </c>
      <c r="V236" s="46">
        <v>35500</v>
      </c>
      <c r="W236" s="46"/>
      <c r="X236" s="51"/>
      <c r="Y236" s="48">
        <f t="shared" si="129"/>
        <v>0</v>
      </c>
      <c r="Z236" s="49"/>
      <c r="AA236" s="50"/>
      <c r="AB236" s="50"/>
      <c r="AC236" s="51">
        <v>34500</v>
      </c>
      <c r="AD236" s="52">
        <f>S236*1.15-AC236</f>
        <v>0</v>
      </c>
      <c r="AE236" s="53">
        <f>S236*1.15+X236-AB236-AC236</f>
        <v>0</v>
      </c>
      <c r="AF236" s="52" t="b">
        <v>0</v>
      </c>
      <c r="AG236" s="52"/>
      <c r="AH236" s="52"/>
      <c r="AI236" s="52"/>
      <c r="AJ236" s="52"/>
      <c r="AK236" s="52"/>
      <c r="AL236" s="52"/>
      <c r="AM236" s="52" t="b">
        <v>0</v>
      </c>
      <c r="AN236" s="52"/>
      <c r="AO236" s="52"/>
      <c r="AP236" s="52"/>
      <c r="AQ236" s="52"/>
      <c r="AR236" s="52"/>
      <c r="AS236" s="52" t="b">
        <v>0</v>
      </c>
      <c r="AT236" s="52"/>
      <c r="AU236" s="52"/>
      <c r="AV236" s="52"/>
      <c r="AW236" s="52"/>
      <c r="AX236" s="52" t="str">
        <f t="shared" si="131"/>
        <v>ملتزم</v>
      </c>
      <c r="AY236" s="54" t="s">
        <v>77</v>
      </c>
      <c r="AZ236" s="43" t="s">
        <v>107</v>
      </c>
      <c r="BA236" s="55" t="s">
        <v>502</v>
      </c>
      <c r="BB236" s="55"/>
      <c r="BC236" s="55"/>
      <c r="BD236" s="54"/>
      <c r="BE236" s="54"/>
      <c r="BF236" s="54"/>
      <c r="BG236" s="54"/>
      <c r="BH236" s="54"/>
      <c r="BI236" s="54" t="s">
        <v>76</v>
      </c>
      <c r="BJ236" s="54">
        <f>(U236+V236+AE236)-BD236-BE236</f>
        <v>68500</v>
      </c>
      <c r="BK236" s="54"/>
    </row>
    <row r="237" spans="1:63" ht="34.5" hidden="1" customHeight="1" x14ac:dyDescent="0.25">
      <c r="A237" s="35">
        <f t="shared" si="133"/>
        <v>60</v>
      </c>
      <c r="B237" s="35" t="s">
        <v>503</v>
      </c>
      <c r="C237" s="35"/>
      <c r="D237" s="81" t="s">
        <v>94</v>
      </c>
      <c r="E237" s="81" t="b">
        <v>0</v>
      </c>
      <c r="F237" s="81"/>
      <c r="G237" s="65"/>
      <c r="H237" s="35">
        <v>3</v>
      </c>
      <c r="I237" s="35" t="s">
        <v>504</v>
      </c>
      <c r="J237" s="84" t="s">
        <v>505</v>
      </c>
      <c r="K237" s="81">
        <v>7016139300</v>
      </c>
      <c r="L237" s="81">
        <v>506651552</v>
      </c>
      <c r="M237" s="81">
        <v>1003562004</v>
      </c>
      <c r="N237" s="35" t="s">
        <v>64</v>
      </c>
      <c r="O237" s="42" t="s">
        <v>84</v>
      </c>
      <c r="P237" s="35">
        <v>28.9</v>
      </c>
      <c r="Q237" s="35">
        <v>9.6</v>
      </c>
      <c r="R237" s="35">
        <f t="shared" si="127"/>
        <v>277.44</v>
      </c>
      <c r="S237" s="43">
        <v>60000</v>
      </c>
      <c r="T237" s="44">
        <f t="shared" si="128"/>
        <v>6000</v>
      </c>
      <c r="U237" s="63">
        <f t="shared" si="132"/>
        <v>66000</v>
      </c>
      <c r="V237" s="46">
        <v>124848</v>
      </c>
      <c r="W237" s="46"/>
      <c r="X237" s="52">
        <v>31050</v>
      </c>
      <c r="Y237" s="48">
        <f t="shared" si="129"/>
        <v>27000.000000000004</v>
      </c>
      <c r="Z237" s="69">
        <v>0</v>
      </c>
      <c r="AA237" s="50">
        <f t="shared" ref="AA237:AA240" si="134">Z237/1.15</f>
        <v>0</v>
      </c>
      <c r="AB237" s="50">
        <v>28750</v>
      </c>
      <c r="AC237" s="52">
        <v>9200</v>
      </c>
      <c r="AD237" s="52">
        <f>S237*1.15-AC237</f>
        <v>59800</v>
      </c>
      <c r="AE237" s="53">
        <f>S237*1.15+X237-AB237-AC237</f>
        <v>62100</v>
      </c>
      <c r="AF237" s="52" t="b">
        <v>0</v>
      </c>
      <c r="AG237" s="52"/>
      <c r="AH237" s="52"/>
      <c r="AI237" s="52"/>
      <c r="AJ237" s="52"/>
      <c r="AK237" s="52"/>
      <c r="AL237" s="52"/>
      <c r="AM237" s="52" t="b">
        <v>0</v>
      </c>
      <c r="AN237" s="52"/>
      <c r="AO237" s="52"/>
      <c r="AP237" s="52"/>
      <c r="AQ237" s="52"/>
      <c r="AR237" s="52"/>
      <c r="AS237" s="52" t="b">
        <v>0</v>
      </c>
      <c r="AT237" s="52"/>
      <c r="AU237" s="52"/>
      <c r="AV237" s="52"/>
      <c r="AW237" s="52"/>
      <c r="AX237" s="52" t="str">
        <f t="shared" si="131"/>
        <v>غير ملتزم</v>
      </c>
      <c r="AY237" s="54" t="s">
        <v>77</v>
      </c>
      <c r="AZ237" s="43"/>
      <c r="BA237" s="55" t="s">
        <v>75</v>
      </c>
      <c r="BB237" s="55"/>
      <c r="BC237" s="55"/>
      <c r="BD237" s="54"/>
      <c r="BE237" s="54"/>
      <c r="BF237" s="54"/>
      <c r="BG237" s="54"/>
      <c r="BH237" s="54"/>
      <c r="BI237" s="54" t="s">
        <v>76</v>
      </c>
      <c r="BJ237" s="54">
        <f>(U237+V237+AE237)-BD237-BE237</f>
        <v>252948</v>
      </c>
      <c r="BK237" s="54"/>
    </row>
    <row r="238" spans="1:63" ht="41.25" hidden="1" customHeight="1" x14ac:dyDescent="0.25">
      <c r="A238" s="35">
        <f t="shared" si="133"/>
        <v>61</v>
      </c>
      <c r="B238" s="131" t="s">
        <v>506</v>
      </c>
      <c r="C238" s="105">
        <v>20426633459</v>
      </c>
      <c r="D238" s="37" t="s">
        <v>106</v>
      </c>
      <c r="E238" s="81" t="b">
        <v>0</v>
      </c>
      <c r="F238" s="81"/>
      <c r="G238" s="65">
        <v>46022</v>
      </c>
      <c r="H238" s="35">
        <v>2</v>
      </c>
      <c r="I238" s="35" t="s">
        <v>507</v>
      </c>
      <c r="J238" s="95" t="s">
        <v>508</v>
      </c>
      <c r="K238" s="81">
        <v>7004358953</v>
      </c>
      <c r="L238" s="81">
        <v>553372222</v>
      </c>
      <c r="M238" s="81">
        <v>2051343024</v>
      </c>
      <c r="N238" s="35" t="s">
        <v>73</v>
      </c>
      <c r="O238" s="35" t="s">
        <v>97</v>
      </c>
      <c r="P238" s="35">
        <v>8.6300000000000008</v>
      </c>
      <c r="Q238" s="35">
        <v>4.7699999999999996</v>
      </c>
      <c r="R238" s="35">
        <f t="shared" si="127"/>
        <v>41.165100000000002</v>
      </c>
      <c r="S238" s="44">
        <v>64000</v>
      </c>
      <c r="T238" s="44">
        <f t="shared" si="128"/>
        <v>6400</v>
      </c>
      <c r="U238" s="63">
        <f t="shared" si="132"/>
        <v>70400</v>
      </c>
      <c r="V238" s="106"/>
      <c r="W238" s="106"/>
      <c r="X238" s="45">
        <v>33119.99</v>
      </c>
      <c r="Y238" s="48">
        <f t="shared" si="129"/>
        <v>28799.991304347826</v>
      </c>
      <c r="Z238" s="50">
        <v>0</v>
      </c>
      <c r="AA238" s="50">
        <f t="shared" si="134"/>
        <v>0</v>
      </c>
      <c r="AB238" s="50">
        <v>20000</v>
      </c>
      <c r="AC238" s="52">
        <v>86720</v>
      </c>
      <c r="AD238" s="52">
        <f>S238*1.15-AC238</f>
        <v>-13120</v>
      </c>
      <c r="AE238" s="53">
        <f>S238*1.15+X238-AB238-AC238</f>
        <v>-1.0000000009313226E-2</v>
      </c>
      <c r="AF238" s="52" t="b">
        <v>0</v>
      </c>
      <c r="AG238" s="52"/>
      <c r="AH238" s="52"/>
      <c r="AI238" s="52"/>
      <c r="AJ238" s="52"/>
      <c r="AK238" s="52"/>
      <c r="AL238" s="52"/>
      <c r="AM238" s="52" t="b">
        <v>0</v>
      </c>
      <c r="AN238" s="52"/>
      <c r="AO238" s="52"/>
      <c r="AP238" s="52"/>
      <c r="AQ238" s="52"/>
      <c r="AR238" s="52"/>
      <c r="AS238" s="52" t="b">
        <v>0</v>
      </c>
      <c r="AT238" s="52"/>
      <c r="AU238" s="52"/>
      <c r="AV238" s="52"/>
      <c r="AW238" s="52"/>
      <c r="AX238" s="52" t="str">
        <f t="shared" si="131"/>
        <v>ملتزم</v>
      </c>
      <c r="AY238" s="54" t="s">
        <v>77</v>
      </c>
      <c r="AZ238" s="43" t="s">
        <v>107</v>
      </c>
      <c r="BA238" s="55"/>
      <c r="BB238" s="55"/>
      <c r="BC238" s="55"/>
      <c r="BD238" s="54"/>
      <c r="BE238" s="68">
        <v>0</v>
      </c>
      <c r="BF238" s="54"/>
      <c r="BG238" s="54"/>
      <c r="BH238" s="54"/>
      <c r="BI238" s="54" t="s">
        <v>76</v>
      </c>
      <c r="BJ238" s="54">
        <f>(U238+V238+AE238)-BD238-BE238</f>
        <v>70399.989999999991</v>
      </c>
      <c r="BK238" s="54"/>
    </row>
    <row r="239" spans="1:63" ht="34.5" hidden="1" customHeight="1" x14ac:dyDescent="0.25">
      <c r="A239" s="35">
        <f t="shared" si="133"/>
        <v>62</v>
      </c>
      <c r="B239" s="35" t="s">
        <v>509</v>
      </c>
      <c r="C239" s="105">
        <v>20828299791</v>
      </c>
      <c r="D239" s="37" t="s">
        <v>106</v>
      </c>
      <c r="E239" s="81" t="b">
        <v>0</v>
      </c>
      <c r="F239" s="81"/>
      <c r="G239" s="65">
        <v>46022</v>
      </c>
      <c r="H239" s="35">
        <v>1</v>
      </c>
      <c r="I239" s="35">
        <v>364</v>
      </c>
      <c r="J239" s="95" t="s">
        <v>282</v>
      </c>
      <c r="K239" s="81">
        <v>7011605172</v>
      </c>
      <c r="L239" s="81">
        <v>505616748</v>
      </c>
      <c r="M239" s="81">
        <v>1026810190</v>
      </c>
      <c r="N239" s="35" t="s">
        <v>73</v>
      </c>
      <c r="O239" s="35" t="s">
        <v>97</v>
      </c>
      <c r="P239" s="35">
        <v>5</v>
      </c>
      <c r="Q239" s="35">
        <v>4</v>
      </c>
      <c r="R239" s="35">
        <f t="shared" si="127"/>
        <v>20</v>
      </c>
      <c r="S239" s="44">
        <v>30000</v>
      </c>
      <c r="T239" s="44">
        <f t="shared" si="128"/>
        <v>3000</v>
      </c>
      <c r="U239" s="63">
        <f t="shared" si="132"/>
        <v>33000</v>
      </c>
      <c r="V239" s="106"/>
      <c r="W239" s="106"/>
      <c r="X239" s="52">
        <v>0</v>
      </c>
      <c r="Y239" s="48">
        <f t="shared" si="129"/>
        <v>0</v>
      </c>
      <c r="Z239" s="50">
        <v>0</v>
      </c>
      <c r="AA239" s="50">
        <f t="shared" si="134"/>
        <v>0</v>
      </c>
      <c r="AB239" s="50"/>
      <c r="AC239" s="52">
        <v>34500</v>
      </c>
      <c r="AD239" s="52">
        <f>S239*1.15-AC239</f>
        <v>0</v>
      </c>
      <c r="AE239" s="53">
        <f>S239*1.15+X239-AB239-AC239</f>
        <v>0</v>
      </c>
      <c r="AF239" s="52" t="b">
        <v>0</v>
      </c>
      <c r="AG239" s="52"/>
      <c r="AH239" s="52"/>
      <c r="AI239" s="52"/>
      <c r="AJ239" s="52"/>
      <c r="AK239" s="52"/>
      <c r="AL239" s="52"/>
      <c r="AM239" s="52" t="b">
        <v>0</v>
      </c>
      <c r="AN239" s="52"/>
      <c r="AO239" s="52"/>
      <c r="AP239" s="52"/>
      <c r="AQ239" s="52"/>
      <c r="AR239" s="52"/>
      <c r="AS239" s="52" t="b">
        <v>0</v>
      </c>
      <c r="AT239" s="52"/>
      <c r="AU239" s="52"/>
      <c r="AV239" s="52"/>
      <c r="AW239" s="52"/>
      <c r="AX239" s="52" t="str">
        <f t="shared" si="131"/>
        <v>ملتزم</v>
      </c>
      <c r="AY239" s="54" t="s">
        <v>69</v>
      </c>
      <c r="AZ239" s="43" t="s">
        <v>107</v>
      </c>
      <c r="BA239" s="55"/>
      <c r="BB239" s="55"/>
      <c r="BC239" s="55"/>
      <c r="BD239" s="54"/>
      <c r="BE239" s="68">
        <v>6626</v>
      </c>
      <c r="BF239" s="54"/>
      <c r="BG239" s="54"/>
      <c r="BH239" s="54"/>
      <c r="BI239" s="54" t="s">
        <v>112</v>
      </c>
      <c r="BJ239" s="54">
        <f>(U239+V239+AE239)-BD239-BE239</f>
        <v>26374</v>
      </c>
      <c r="BK239" s="54"/>
    </row>
    <row r="240" spans="1:63" ht="34.5" hidden="1" customHeight="1" x14ac:dyDescent="0.25">
      <c r="A240" s="35">
        <f t="shared" si="133"/>
        <v>63</v>
      </c>
      <c r="B240" s="57" t="s">
        <v>510</v>
      </c>
      <c r="C240" s="57">
        <v>20582740046</v>
      </c>
      <c r="D240" s="37" t="s">
        <v>106</v>
      </c>
      <c r="E240" s="81" t="b">
        <v>0</v>
      </c>
      <c r="F240" s="81"/>
      <c r="G240" s="65">
        <v>46022</v>
      </c>
      <c r="H240" s="42">
        <v>1</v>
      </c>
      <c r="I240" s="42">
        <v>19</v>
      </c>
      <c r="J240" s="59" t="s">
        <v>361</v>
      </c>
      <c r="K240" s="60">
        <v>7003747966</v>
      </c>
      <c r="L240" s="60">
        <v>560717442</v>
      </c>
      <c r="M240" s="61">
        <v>1096922131</v>
      </c>
      <c r="N240" s="35" t="s">
        <v>73</v>
      </c>
      <c r="O240" s="42" t="s">
        <v>74</v>
      </c>
      <c r="P240" s="35"/>
      <c r="Q240" s="35"/>
      <c r="R240" s="35">
        <v>60</v>
      </c>
      <c r="S240" s="62">
        <v>22000</v>
      </c>
      <c r="T240" s="44">
        <f t="shared" si="128"/>
        <v>2200</v>
      </c>
      <c r="U240" s="63">
        <f t="shared" si="132"/>
        <v>24200</v>
      </c>
      <c r="V240" s="99"/>
      <c r="W240" s="99"/>
      <c r="X240" s="51">
        <v>0</v>
      </c>
      <c r="Y240" s="48">
        <f t="shared" si="129"/>
        <v>0</v>
      </c>
      <c r="Z240" s="49">
        <v>0</v>
      </c>
      <c r="AA240" s="50">
        <f t="shared" si="134"/>
        <v>0</v>
      </c>
      <c r="AB240" s="50"/>
      <c r="AC240" s="51">
        <v>25300</v>
      </c>
      <c r="AD240" s="52">
        <f>S240*1.15-AC240</f>
        <v>0</v>
      </c>
      <c r="AE240" s="53">
        <f>S240*1.15+X240-AB240-AC240</f>
        <v>0</v>
      </c>
      <c r="AF240" s="52" t="b">
        <v>0</v>
      </c>
      <c r="AG240" s="52"/>
      <c r="AH240" s="52"/>
      <c r="AI240" s="52"/>
      <c r="AJ240" s="52"/>
      <c r="AK240" s="52"/>
      <c r="AL240" s="52"/>
      <c r="AM240" s="52" t="b">
        <v>0</v>
      </c>
      <c r="AN240" s="52"/>
      <c r="AO240" s="52"/>
      <c r="AP240" s="52"/>
      <c r="AQ240" s="52"/>
      <c r="AR240" s="52"/>
      <c r="AS240" s="52" t="b">
        <v>0</v>
      </c>
      <c r="AT240" s="52"/>
      <c r="AU240" s="52"/>
      <c r="AV240" s="52"/>
      <c r="AW240" s="52"/>
      <c r="AX240" s="52" t="str">
        <f t="shared" si="131"/>
        <v>ملتزم</v>
      </c>
      <c r="AY240" s="54" t="s">
        <v>69</v>
      </c>
      <c r="AZ240" s="43" t="s">
        <v>107</v>
      </c>
      <c r="BA240" s="55"/>
      <c r="BB240" s="55"/>
      <c r="BC240" s="55"/>
      <c r="BD240" s="54"/>
      <c r="BE240" s="68">
        <v>0</v>
      </c>
      <c r="BF240" s="54"/>
      <c r="BG240" s="54"/>
      <c r="BH240" s="54"/>
      <c r="BI240" s="52" t="s">
        <v>72</v>
      </c>
      <c r="BJ240" s="54">
        <f>(U240+V240+AE240)-BD240-BE240</f>
        <v>24200</v>
      </c>
      <c r="BK240" s="54"/>
    </row>
    <row r="241" spans="1:63" ht="34.5" hidden="1" customHeight="1" x14ac:dyDescent="0.25">
      <c r="A241" s="35">
        <f t="shared" si="133"/>
        <v>64</v>
      </c>
      <c r="B241" s="35" t="s">
        <v>510</v>
      </c>
      <c r="C241" s="105">
        <v>20322751377</v>
      </c>
      <c r="D241" s="37" t="s">
        <v>106</v>
      </c>
      <c r="E241" s="81" t="b">
        <v>0</v>
      </c>
      <c r="F241" s="81"/>
      <c r="G241" s="113">
        <v>46022</v>
      </c>
      <c r="H241" s="35">
        <v>1</v>
      </c>
      <c r="I241" s="35">
        <v>217</v>
      </c>
      <c r="J241" s="95" t="s">
        <v>361</v>
      </c>
      <c r="K241" s="114">
        <v>7003747966</v>
      </c>
      <c r="L241" s="114">
        <v>560717442</v>
      </c>
      <c r="M241" s="81">
        <v>1096922131</v>
      </c>
      <c r="N241" s="35" t="s">
        <v>73</v>
      </c>
      <c r="O241" s="35" t="s">
        <v>97</v>
      </c>
      <c r="P241" s="35">
        <v>6.95</v>
      </c>
      <c r="Q241" s="35">
        <v>4.1500000000000004</v>
      </c>
      <c r="R241" s="35">
        <f t="shared" ref="R241:R246" si="135">P241*Q241</f>
        <v>28.842500000000005</v>
      </c>
      <c r="S241" s="44">
        <v>30000</v>
      </c>
      <c r="T241" s="44">
        <f t="shared" ref="T241:T242" si="136">S241*20/100</f>
        <v>6000</v>
      </c>
      <c r="U241" s="63">
        <f t="shared" ref="U241:U242" si="137">S241+T241+200</f>
        <v>36200</v>
      </c>
      <c r="V241" s="44"/>
      <c r="W241" s="44"/>
      <c r="X241" s="115">
        <v>0</v>
      </c>
      <c r="Y241" s="89">
        <f t="shared" si="129"/>
        <v>0</v>
      </c>
      <c r="Z241" s="91">
        <v>0</v>
      </c>
      <c r="AA241" s="91">
        <v>0</v>
      </c>
      <c r="AB241" s="91"/>
      <c r="AC241" s="54">
        <v>34500</v>
      </c>
      <c r="AD241" s="54">
        <f>S241*1.15-AC241</f>
        <v>0</v>
      </c>
      <c r="AE241" s="53">
        <f>S241*1.15+X241-AB241-AC241</f>
        <v>0</v>
      </c>
      <c r="AF241" s="54" t="b">
        <v>1</v>
      </c>
      <c r="AG241" s="134">
        <v>45667</v>
      </c>
      <c r="AH241" s="54">
        <v>20815</v>
      </c>
      <c r="AI241" s="54" t="s">
        <v>68</v>
      </c>
      <c r="AJ241" s="52" t="s">
        <v>136</v>
      </c>
      <c r="AK241" s="128" t="s">
        <v>511</v>
      </c>
      <c r="AL241" s="128"/>
      <c r="AM241" s="54" t="b">
        <v>0</v>
      </c>
      <c r="AN241" s="117">
        <v>45971</v>
      </c>
      <c r="AO241" s="54">
        <v>20815</v>
      </c>
      <c r="AP241" s="54"/>
      <c r="AQ241" s="54"/>
      <c r="AR241" s="54"/>
      <c r="AS241" s="54" t="b">
        <v>0</v>
      </c>
      <c r="AT241" s="118"/>
      <c r="AU241" s="54"/>
      <c r="AV241" s="54"/>
      <c r="AW241" s="54"/>
      <c r="AX241" s="54" t="str">
        <f t="shared" si="131"/>
        <v>ملتزم</v>
      </c>
      <c r="AY241" s="54" t="s">
        <v>77</v>
      </c>
      <c r="AZ241" s="43" t="s">
        <v>107</v>
      </c>
      <c r="BA241" s="55"/>
      <c r="BB241" s="55"/>
      <c r="BC241" s="55"/>
      <c r="BD241" s="54"/>
      <c r="BE241" s="68">
        <v>20815</v>
      </c>
      <c r="BF241" s="54"/>
      <c r="BG241" s="54"/>
      <c r="BH241" s="54"/>
      <c r="BI241" s="54" t="s">
        <v>76</v>
      </c>
      <c r="BJ241" s="54">
        <f>(U241+V241+AE241)-BD241-BE241</f>
        <v>15385</v>
      </c>
      <c r="BK241" s="54" t="s">
        <v>512</v>
      </c>
    </row>
    <row r="242" spans="1:63" ht="34.5" hidden="1" customHeight="1" x14ac:dyDescent="0.25">
      <c r="A242" s="35">
        <f t="shared" si="133"/>
        <v>65</v>
      </c>
      <c r="B242" s="35" t="s">
        <v>513</v>
      </c>
      <c r="C242" s="105">
        <v>20297833465</v>
      </c>
      <c r="D242" s="37" t="s">
        <v>106</v>
      </c>
      <c r="E242" s="37" t="b">
        <v>0</v>
      </c>
      <c r="F242" s="37"/>
      <c r="G242" s="113">
        <v>46022</v>
      </c>
      <c r="H242" s="35">
        <v>1</v>
      </c>
      <c r="I242" s="35">
        <v>214</v>
      </c>
      <c r="J242" s="95" t="s">
        <v>459</v>
      </c>
      <c r="K242" s="114">
        <v>7007935849</v>
      </c>
      <c r="L242" s="114">
        <v>505618088</v>
      </c>
      <c r="M242" s="81">
        <v>1011712351</v>
      </c>
      <c r="N242" s="35" t="s">
        <v>73</v>
      </c>
      <c r="O242" s="35" t="s">
        <v>97</v>
      </c>
      <c r="P242" s="35">
        <v>6.95</v>
      </c>
      <c r="Q242" s="35">
        <v>4.1500000000000004</v>
      </c>
      <c r="R242" s="35">
        <f t="shared" si="135"/>
        <v>28.842500000000005</v>
      </c>
      <c r="S242" s="44">
        <v>40000</v>
      </c>
      <c r="T242" s="44">
        <f t="shared" si="136"/>
        <v>8000</v>
      </c>
      <c r="U242" s="63">
        <f t="shared" si="137"/>
        <v>48200</v>
      </c>
      <c r="V242" s="44"/>
      <c r="W242" s="44"/>
      <c r="X242" s="54">
        <v>0</v>
      </c>
      <c r="Y242" s="89">
        <f t="shared" si="129"/>
        <v>0</v>
      </c>
      <c r="Z242" s="163">
        <v>0</v>
      </c>
      <c r="AA242" s="91">
        <f t="shared" ref="AA242:AA255" si="138">Z242/1.15</f>
        <v>0</v>
      </c>
      <c r="AB242" s="91"/>
      <c r="AC242" s="54">
        <v>46000</v>
      </c>
      <c r="AD242" s="54">
        <f>S242*1.15-AC242</f>
        <v>0</v>
      </c>
      <c r="AE242" s="53">
        <f>S242*1.15+X242-AB242-AC242</f>
        <v>0</v>
      </c>
      <c r="AF242" s="52" t="b">
        <v>0</v>
      </c>
      <c r="AG242" s="52"/>
      <c r="AH242" s="52"/>
      <c r="AI242" s="52"/>
      <c r="AJ242" s="52"/>
      <c r="AK242" s="52"/>
      <c r="AL242" s="52"/>
      <c r="AM242" s="52" t="b">
        <v>0</v>
      </c>
      <c r="AN242" s="52"/>
      <c r="AO242" s="52"/>
      <c r="AP242" s="52"/>
      <c r="AQ242" s="52"/>
      <c r="AR242" s="52"/>
      <c r="AS242" s="52" t="b">
        <v>0</v>
      </c>
      <c r="AT242" s="54"/>
      <c r="AU242" s="54"/>
      <c r="AV242" s="54"/>
      <c r="AW242" s="54"/>
      <c r="AX242" s="54" t="str">
        <f t="shared" si="131"/>
        <v>ملتزم</v>
      </c>
      <c r="AY242" s="54" t="s">
        <v>69</v>
      </c>
      <c r="AZ242" s="43" t="s">
        <v>107</v>
      </c>
      <c r="BA242" s="55"/>
      <c r="BB242" s="55"/>
      <c r="BC242" s="55"/>
      <c r="BD242" s="54"/>
      <c r="BE242" s="68">
        <v>41400</v>
      </c>
      <c r="BF242" s="54"/>
      <c r="BG242" s="54"/>
      <c r="BH242" s="54"/>
      <c r="BI242" s="54" t="s">
        <v>76</v>
      </c>
      <c r="BJ242" s="54">
        <f>(U242+V242+AE242)-BD242-BE242</f>
        <v>6800</v>
      </c>
      <c r="BK242" s="54" t="s">
        <v>113</v>
      </c>
    </row>
    <row r="243" spans="1:63" ht="34.5" hidden="1" customHeight="1" x14ac:dyDescent="0.25">
      <c r="A243" s="35">
        <f t="shared" si="133"/>
        <v>66</v>
      </c>
      <c r="B243" s="35" t="s">
        <v>514</v>
      </c>
      <c r="C243" s="35">
        <v>20026029471</v>
      </c>
      <c r="D243" s="81" t="s">
        <v>100</v>
      </c>
      <c r="E243" s="81" t="b">
        <v>0</v>
      </c>
      <c r="F243" s="81"/>
      <c r="G243" s="65">
        <v>45657</v>
      </c>
      <c r="H243" s="35">
        <v>1</v>
      </c>
      <c r="I243" s="35">
        <v>150</v>
      </c>
      <c r="J243" s="95" t="s">
        <v>515</v>
      </c>
      <c r="K243" s="81">
        <v>7012572884</v>
      </c>
      <c r="L243" s="81">
        <v>504672945</v>
      </c>
      <c r="M243" s="81">
        <v>1010517041</v>
      </c>
      <c r="N243" s="35" t="s">
        <v>64</v>
      </c>
      <c r="O243" s="42" t="s">
        <v>84</v>
      </c>
      <c r="P243" s="35">
        <v>9.9</v>
      </c>
      <c r="Q243" s="35">
        <v>9.9</v>
      </c>
      <c r="R243" s="35">
        <f t="shared" si="135"/>
        <v>98.01</v>
      </c>
      <c r="S243" s="43">
        <v>30000</v>
      </c>
      <c r="T243" s="44">
        <f t="shared" ref="T243:T251" si="139">S243*10/100</f>
        <v>3000</v>
      </c>
      <c r="U243" s="63">
        <f t="shared" ref="U243:U255" si="140">S243+T243</f>
        <v>33000</v>
      </c>
      <c r="V243" s="46">
        <v>49005</v>
      </c>
      <c r="W243" s="46"/>
      <c r="X243" s="52">
        <v>9150</v>
      </c>
      <c r="Y243" s="48">
        <f t="shared" si="129"/>
        <v>7956.521739130435</v>
      </c>
      <c r="Z243" s="69">
        <v>0</v>
      </c>
      <c r="AA243" s="50">
        <f t="shared" si="138"/>
        <v>0</v>
      </c>
      <c r="AB243" s="50"/>
      <c r="AC243" s="52">
        <v>0</v>
      </c>
      <c r="AD243" s="52">
        <f>S243*1.15-AC243</f>
        <v>34500</v>
      </c>
      <c r="AE243" s="53">
        <f>S243*1.15+X243-AB243-AC243</f>
        <v>43650</v>
      </c>
      <c r="AF243" s="52" t="b">
        <v>0</v>
      </c>
      <c r="AG243" s="52"/>
      <c r="AH243" s="52"/>
      <c r="AI243" s="52"/>
      <c r="AJ243" s="52"/>
      <c r="AK243" s="52"/>
      <c r="AL243" s="52"/>
      <c r="AM243" s="52" t="b">
        <v>0</v>
      </c>
      <c r="AN243" s="52"/>
      <c r="AO243" s="52"/>
      <c r="AP243" s="52"/>
      <c r="AQ243" s="52"/>
      <c r="AR243" s="52"/>
      <c r="AS243" s="52" t="b">
        <v>0</v>
      </c>
      <c r="AT243" s="52"/>
      <c r="AU243" s="52"/>
      <c r="AV243" s="52"/>
      <c r="AW243" s="52"/>
      <c r="AX243" s="52" t="str">
        <f t="shared" si="131"/>
        <v>غير ملتزم</v>
      </c>
      <c r="AY243" s="54" t="s">
        <v>77</v>
      </c>
      <c r="AZ243" s="43"/>
      <c r="BA243" s="55" t="s">
        <v>75</v>
      </c>
      <c r="BB243" s="55"/>
      <c r="BC243" s="55"/>
      <c r="BD243" s="54"/>
      <c r="BE243" s="54"/>
      <c r="BF243" s="54"/>
      <c r="BG243" s="54"/>
      <c r="BH243" s="54"/>
      <c r="BI243" s="54" t="s">
        <v>76</v>
      </c>
      <c r="BJ243" s="54">
        <f>(U243+V243+AE243)-BD243-BE243</f>
        <v>125655</v>
      </c>
      <c r="BK243" s="54"/>
    </row>
    <row r="244" spans="1:63" ht="34.5" hidden="1" customHeight="1" x14ac:dyDescent="0.25">
      <c r="A244" s="35">
        <f t="shared" si="133"/>
        <v>67</v>
      </c>
      <c r="B244" s="35" t="s">
        <v>514</v>
      </c>
      <c r="C244" s="35">
        <v>20297395511</v>
      </c>
      <c r="D244" s="61" t="s">
        <v>100</v>
      </c>
      <c r="E244" s="61" t="b">
        <v>0</v>
      </c>
      <c r="F244" s="61"/>
      <c r="G244" s="65">
        <v>45657</v>
      </c>
      <c r="H244" s="35">
        <v>1</v>
      </c>
      <c r="I244" s="35">
        <v>151</v>
      </c>
      <c r="J244" s="95" t="s">
        <v>515</v>
      </c>
      <c r="K244" s="81">
        <v>7012572884</v>
      </c>
      <c r="L244" s="81">
        <v>504972945</v>
      </c>
      <c r="M244" s="81">
        <v>1010517041</v>
      </c>
      <c r="N244" s="35" t="s">
        <v>64</v>
      </c>
      <c r="O244" s="42" t="s">
        <v>84</v>
      </c>
      <c r="P244" s="35">
        <v>9.8000000000000007</v>
      </c>
      <c r="Q244" s="35">
        <v>8.6999999999999993</v>
      </c>
      <c r="R244" s="35">
        <f t="shared" si="135"/>
        <v>85.26</v>
      </c>
      <c r="S244" s="43">
        <v>30000</v>
      </c>
      <c r="T244" s="44">
        <f t="shared" si="139"/>
        <v>3000</v>
      </c>
      <c r="U244" s="63">
        <f t="shared" si="140"/>
        <v>33000</v>
      </c>
      <c r="V244" s="129">
        <v>42630</v>
      </c>
      <c r="W244" s="129"/>
      <c r="X244" s="52">
        <v>9150</v>
      </c>
      <c r="Y244" s="48">
        <f t="shared" si="129"/>
        <v>7956.521739130435</v>
      </c>
      <c r="Z244" s="69">
        <v>0</v>
      </c>
      <c r="AA244" s="50">
        <f t="shared" si="138"/>
        <v>0</v>
      </c>
      <c r="AB244" s="50"/>
      <c r="AC244" s="52">
        <v>0</v>
      </c>
      <c r="AD244" s="52">
        <f>S244*1.15-AC244</f>
        <v>34500</v>
      </c>
      <c r="AE244" s="53">
        <f>S244*1.15+X244-AB244-AC244</f>
        <v>43650</v>
      </c>
      <c r="AF244" s="52" t="b">
        <v>0</v>
      </c>
      <c r="AG244" s="52"/>
      <c r="AH244" s="52"/>
      <c r="AI244" s="52"/>
      <c r="AJ244" s="52"/>
      <c r="AK244" s="52"/>
      <c r="AL244" s="52"/>
      <c r="AM244" s="52" t="b">
        <v>0</v>
      </c>
      <c r="AN244" s="52"/>
      <c r="AO244" s="52"/>
      <c r="AP244" s="52"/>
      <c r="AQ244" s="52"/>
      <c r="AR244" s="52"/>
      <c r="AS244" s="52" t="b">
        <v>0</v>
      </c>
      <c r="AT244" s="52"/>
      <c r="AU244" s="52"/>
      <c r="AV244" s="52"/>
      <c r="AW244" s="52"/>
      <c r="AX244" s="52" t="str">
        <f t="shared" si="131"/>
        <v>غير ملتزم</v>
      </c>
      <c r="AY244" s="54" t="s">
        <v>102</v>
      </c>
      <c r="AZ244" s="43"/>
      <c r="BA244" s="55" t="s">
        <v>75</v>
      </c>
      <c r="BB244" s="55"/>
      <c r="BC244" s="55"/>
      <c r="BD244" s="54"/>
      <c r="BE244" s="54"/>
      <c r="BF244" s="54"/>
      <c r="BG244" s="54"/>
      <c r="BH244" s="54"/>
      <c r="BI244" s="54" t="s">
        <v>76</v>
      </c>
      <c r="BJ244" s="54">
        <f>(U244+V244+AE244)-BD244-BE244</f>
        <v>119280</v>
      </c>
      <c r="BK244" s="54"/>
    </row>
    <row r="245" spans="1:63" ht="34.5" hidden="1" customHeight="1" x14ac:dyDescent="0.25">
      <c r="A245" s="35">
        <f t="shared" si="133"/>
        <v>68</v>
      </c>
      <c r="B245" s="35" t="s">
        <v>516</v>
      </c>
      <c r="C245" s="105"/>
      <c r="D245" s="37" t="s">
        <v>106</v>
      </c>
      <c r="E245" s="81" t="b">
        <v>0</v>
      </c>
      <c r="F245" s="81"/>
      <c r="G245" s="65">
        <v>46022</v>
      </c>
      <c r="H245" s="35">
        <v>1</v>
      </c>
      <c r="I245" s="35" t="s">
        <v>517</v>
      </c>
      <c r="J245" s="95" t="s">
        <v>518</v>
      </c>
      <c r="K245" s="114">
        <v>7013149435</v>
      </c>
      <c r="L245" s="114">
        <v>504663728</v>
      </c>
      <c r="M245" s="81">
        <v>1001224672</v>
      </c>
      <c r="N245" s="35" t="s">
        <v>73</v>
      </c>
      <c r="O245" s="35" t="s">
        <v>97</v>
      </c>
      <c r="P245" s="35">
        <v>9.5</v>
      </c>
      <c r="Q245" s="35">
        <v>6.9</v>
      </c>
      <c r="R245" s="35">
        <f t="shared" si="135"/>
        <v>65.55</v>
      </c>
      <c r="S245" s="44">
        <v>30000</v>
      </c>
      <c r="T245" s="44">
        <f t="shared" si="139"/>
        <v>3000</v>
      </c>
      <c r="U245" s="63">
        <f t="shared" si="140"/>
        <v>33000</v>
      </c>
      <c r="V245" s="106"/>
      <c r="W245" s="106"/>
      <c r="X245" s="52">
        <v>0</v>
      </c>
      <c r="Y245" s="48">
        <f t="shared" si="129"/>
        <v>0</v>
      </c>
      <c r="Z245" s="50">
        <v>0</v>
      </c>
      <c r="AA245" s="50">
        <f t="shared" si="138"/>
        <v>0</v>
      </c>
      <c r="AB245" s="50"/>
      <c r="AC245" s="52">
        <v>34500</v>
      </c>
      <c r="AD245" s="52">
        <f>S245*1.15-AC245</f>
        <v>0</v>
      </c>
      <c r="AE245" s="53">
        <f>S245*1.15+X245-AB245-AC245</f>
        <v>0</v>
      </c>
      <c r="AF245" s="52" t="b">
        <v>0</v>
      </c>
      <c r="AG245" s="52"/>
      <c r="AH245" s="52"/>
      <c r="AI245" s="52"/>
      <c r="AJ245" s="52"/>
      <c r="AK245" s="52"/>
      <c r="AL245" s="52"/>
      <c r="AM245" s="52" t="b">
        <v>0</v>
      </c>
      <c r="AN245" s="52"/>
      <c r="AO245" s="52"/>
      <c r="AP245" s="52"/>
      <c r="AQ245" s="52"/>
      <c r="AR245" s="52"/>
      <c r="AS245" s="52" t="b">
        <v>0</v>
      </c>
      <c r="AT245" s="52"/>
      <c r="AU245" s="52"/>
      <c r="AV245" s="52"/>
      <c r="AW245" s="52"/>
      <c r="AX245" s="52" t="str">
        <f t="shared" si="131"/>
        <v>ملتزم</v>
      </c>
      <c r="AY245" s="54" t="s">
        <v>192</v>
      </c>
      <c r="AZ245" s="43" t="s">
        <v>107</v>
      </c>
      <c r="BA245" s="55"/>
      <c r="BB245" s="55"/>
      <c r="BC245" s="55"/>
      <c r="BD245" s="54"/>
      <c r="BE245" s="68">
        <v>19090</v>
      </c>
      <c r="BF245" s="54"/>
      <c r="BG245" s="54"/>
      <c r="BH245" s="54"/>
      <c r="BI245" s="54" t="s">
        <v>112</v>
      </c>
      <c r="BJ245" s="54">
        <f>(U245+V245+AE245)-BD245-BE245</f>
        <v>13910</v>
      </c>
      <c r="BK245" s="54" t="s">
        <v>113</v>
      </c>
    </row>
    <row r="246" spans="1:63" ht="34.5" hidden="1" customHeight="1" x14ac:dyDescent="0.25">
      <c r="A246" s="35">
        <f t="shared" si="133"/>
        <v>69</v>
      </c>
      <c r="B246" s="35" t="s">
        <v>519</v>
      </c>
      <c r="C246" s="111">
        <v>20619119445</v>
      </c>
      <c r="D246" s="37" t="s">
        <v>106</v>
      </c>
      <c r="E246" s="81" t="b">
        <v>0</v>
      </c>
      <c r="F246" s="81"/>
      <c r="G246" s="65">
        <v>46022</v>
      </c>
      <c r="H246" s="35">
        <v>1</v>
      </c>
      <c r="I246" s="35">
        <v>47</v>
      </c>
      <c r="J246" s="95" t="s">
        <v>357</v>
      </c>
      <c r="K246" s="81">
        <v>7039004879</v>
      </c>
      <c r="L246" s="81">
        <v>506649896</v>
      </c>
      <c r="M246" s="81">
        <v>1089007692</v>
      </c>
      <c r="N246" s="35" t="s">
        <v>64</v>
      </c>
      <c r="O246" s="42" t="s">
        <v>97</v>
      </c>
      <c r="P246" s="35">
        <v>10.1</v>
      </c>
      <c r="Q246" s="35">
        <v>4</v>
      </c>
      <c r="R246" s="35">
        <f t="shared" si="135"/>
        <v>40.4</v>
      </c>
      <c r="S246" s="43">
        <v>40000</v>
      </c>
      <c r="T246" s="44">
        <f t="shared" si="139"/>
        <v>4000</v>
      </c>
      <c r="U246" s="63">
        <f t="shared" si="140"/>
        <v>44000</v>
      </c>
      <c r="V246" s="106"/>
      <c r="W246" s="106"/>
      <c r="X246" s="52">
        <v>0</v>
      </c>
      <c r="Y246" s="48">
        <f t="shared" si="129"/>
        <v>0</v>
      </c>
      <c r="Z246" s="69">
        <v>0</v>
      </c>
      <c r="AA246" s="50">
        <f t="shared" si="138"/>
        <v>0</v>
      </c>
      <c r="AB246" s="50"/>
      <c r="AC246" s="52">
        <v>11500</v>
      </c>
      <c r="AD246" s="52">
        <f>S246*1.15-AC246</f>
        <v>34500</v>
      </c>
      <c r="AE246" s="53">
        <f>S246*1.15+X246-AB246-AC246</f>
        <v>34500</v>
      </c>
      <c r="AF246" s="52" t="b">
        <v>0</v>
      </c>
      <c r="AG246" s="52"/>
      <c r="AH246" s="52"/>
      <c r="AI246" s="52"/>
      <c r="AJ246" s="52"/>
      <c r="AK246" s="52"/>
      <c r="AL246" s="52"/>
      <c r="AM246" s="52" t="b">
        <v>0</v>
      </c>
      <c r="AN246" s="52"/>
      <c r="AO246" s="52"/>
      <c r="AP246" s="52"/>
      <c r="AQ246" s="52"/>
      <c r="AR246" s="52"/>
      <c r="AS246" s="52" t="b">
        <v>0</v>
      </c>
      <c r="AT246" s="52"/>
      <c r="AU246" s="52"/>
      <c r="AV246" s="52"/>
      <c r="AW246" s="52"/>
      <c r="AX246" s="52" t="str">
        <f t="shared" si="131"/>
        <v>غير ملتزم</v>
      </c>
      <c r="AY246" s="54" t="s">
        <v>77</v>
      </c>
      <c r="AZ246" s="43" t="s">
        <v>107</v>
      </c>
      <c r="BA246" s="70"/>
      <c r="BB246" s="70"/>
      <c r="BC246" s="70"/>
      <c r="BD246" s="54"/>
      <c r="BE246" s="68">
        <v>0</v>
      </c>
      <c r="BF246" s="54"/>
      <c r="BG246" s="54"/>
      <c r="BH246" s="54"/>
      <c r="BI246" s="52" t="s">
        <v>76</v>
      </c>
      <c r="BJ246" s="54">
        <f>(U246+V246+AE246)-BD246-BE246</f>
        <v>78500</v>
      </c>
      <c r="BK246" s="54"/>
    </row>
    <row r="247" spans="1:63" ht="34.5" hidden="1" customHeight="1" x14ac:dyDescent="0.25">
      <c r="A247" s="35">
        <f t="shared" si="133"/>
        <v>70</v>
      </c>
      <c r="B247" s="57" t="s">
        <v>520</v>
      </c>
      <c r="C247" s="57">
        <v>20510997555</v>
      </c>
      <c r="D247" s="37" t="s">
        <v>106</v>
      </c>
      <c r="E247" s="81"/>
      <c r="F247" s="81"/>
      <c r="G247" s="65">
        <v>46022</v>
      </c>
      <c r="H247" s="42">
        <v>1</v>
      </c>
      <c r="I247" s="42">
        <v>31</v>
      </c>
      <c r="J247" s="97" t="s">
        <v>164</v>
      </c>
      <c r="K247" s="98">
        <v>7013717025</v>
      </c>
      <c r="L247" s="98">
        <v>504899086</v>
      </c>
      <c r="M247" s="98">
        <v>1003337084</v>
      </c>
      <c r="N247" s="35" t="s">
        <v>73</v>
      </c>
      <c r="O247" s="42" t="s">
        <v>74</v>
      </c>
      <c r="P247" s="35"/>
      <c r="Q247" s="35"/>
      <c r="R247" s="35">
        <v>38.4</v>
      </c>
      <c r="S247" s="62">
        <v>23000</v>
      </c>
      <c r="T247" s="44">
        <f t="shared" si="139"/>
        <v>2300</v>
      </c>
      <c r="U247" s="63">
        <f t="shared" si="140"/>
        <v>25300</v>
      </c>
      <c r="V247" s="99"/>
      <c r="W247" s="99"/>
      <c r="X247" s="51"/>
      <c r="Y247" s="48">
        <f t="shared" si="129"/>
        <v>0</v>
      </c>
      <c r="Z247" s="49">
        <v>0</v>
      </c>
      <c r="AA247" s="50">
        <f t="shared" si="138"/>
        <v>0</v>
      </c>
      <c r="AB247" s="50"/>
      <c r="AC247" s="51">
        <v>26450</v>
      </c>
      <c r="AD247" s="52">
        <f>S247*1.15-AC247</f>
        <v>0</v>
      </c>
      <c r="AE247" s="53">
        <f>S247*1.15+X247-AB247-AC247</f>
        <v>0</v>
      </c>
      <c r="AF247" s="52" t="b">
        <v>0</v>
      </c>
      <c r="AG247" s="52"/>
      <c r="AH247" s="52"/>
      <c r="AI247" s="52"/>
      <c r="AJ247" s="52"/>
      <c r="AK247" s="52"/>
      <c r="AL247" s="52"/>
      <c r="AM247" s="52" t="b">
        <v>0</v>
      </c>
      <c r="AN247" s="52"/>
      <c r="AO247" s="52"/>
      <c r="AP247" s="52"/>
      <c r="AQ247" s="52"/>
      <c r="AR247" s="52"/>
      <c r="AS247" s="52" t="b">
        <v>0</v>
      </c>
      <c r="AT247" s="52"/>
      <c r="AU247" s="52"/>
      <c r="AV247" s="52"/>
      <c r="AW247" s="52"/>
      <c r="AX247" s="52" t="str">
        <f t="shared" si="131"/>
        <v>ملتزم</v>
      </c>
      <c r="AY247" s="54" t="s">
        <v>77</v>
      </c>
      <c r="AZ247" s="43" t="s">
        <v>107</v>
      </c>
      <c r="BA247" s="70"/>
      <c r="BB247" s="70"/>
      <c r="BC247" s="70"/>
      <c r="BD247" s="54"/>
      <c r="BE247" s="68">
        <v>14662.5</v>
      </c>
      <c r="BF247" s="54"/>
      <c r="BG247" s="54"/>
      <c r="BH247" s="54"/>
      <c r="BI247" s="54" t="s">
        <v>72</v>
      </c>
      <c r="BJ247" s="54">
        <f>(U247+V247+AE247)-BD247-BE247</f>
        <v>10637.5</v>
      </c>
      <c r="BK247" s="54" t="s">
        <v>113</v>
      </c>
    </row>
    <row r="248" spans="1:63" ht="34.5" hidden="1" customHeight="1" x14ac:dyDescent="0.25">
      <c r="A248" s="35">
        <f t="shared" si="133"/>
        <v>71</v>
      </c>
      <c r="B248" s="57" t="s">
        <v>520</v>
      </c>
      <c r="C248" s="57">
        <v>20950090283</v>
      </c>
      <c r="D248" s="37" t="s">
        <v>106</v>
      </c>
      <c r="E248" s="81" t="b">
        <v>0</v>
      </c>
      <c r="F248" s="81"/>
      <c r="G248" s="38">
        <v>46022</v>
      </c>
      <c r="H248" s="42">
        <v>1</v>
      </c>
      <c r="I248" s="42">
        <v>32</v>
      </c>
      <c r="J248" s="97" t="s">
        <v>164</v>
      </c>
      <c r="K248" s="100">
        <v>7013117025</v>
      </c>
      <c r="L248" s="100">
        <v>504899086</v>
      </c>
      <c r="M248" s="98">
        <v>1003337084</v>
      </c>
      <c r="N248" s="35" t="s">
        <v>73</v>
      </c>
      <c r="O248" s="42" t="s">
        <v>74</v>
      </c>
      <c r="P248" s="35"/>
      <c r="Q248" s="35"/>
      <c r="R248" s="35">
        <v>38.4</v>
      </c>
      <c r="S248" s="62">
        <v>23000</v>
      </c>
      <c r="T248" s="44">
        <f t="shared" si="139"/>
        <v>2300</v>
      </c>
      <c r="U248" s="63">
        <f t="shared" si="140"/>
        <v>25300</v>
      </c>
      <c r="V248" s="64"/>
      <c r="W248" s="64"/>
      <c r="X248" s="51"/>
      <c r="Y248" s="48">
        <f t="shared" si="129"/>
        <v>0</v>
      </c>
      <c r="Z248" s="49">
        <v>0</v>
      </c>
      <c r="AA248" s="50">
        <f t="shared" si="138"/>
        <v>0</v>
      </c>
      <c r="AB248" s="50"/>
      <c r="AC248" s="51">
        <v>26450</v>
      </c>
      <c r="AD248" s="52">
        <f>S248*1.15-AC248</f>
        <v>0</v>
      </c>
      <c r="AE248" s="53">
        <f>S248*1.15+X248-AB248-AC248</f>
        <v>0</v>
      </c>
      <c r="AF248" s="52" t="b">
        <v>0</v>
      </c>
      <c r="AG248" s="52"/>
      <c r="AH248" s="52"/>
      <c r="AI248" s="52"/>
      <c r="AJ248" s="52"/>
      <c r="AK248" s="52"/>
      <c r="AL248" s="52"/>
      <c r="AM248" s="52" t="b">
        <v>0</v>
      </c>
      <c r="AN248" s="52"/>
      <c r="AO248" s="52"/>
      <c r="AP248" s="52"/>
      <c r="AQ248" s="52"/>
      <c r="AR248" s="52"/>
      <c r="AS248" s="52" t="b">
        <v>0</v>
      </c>
      <c r="AT248" s="52"/>
      <c r="AU248" s="52"/>
      <c r="AV248" s="52"/>
      <c r="AW248" s="52"/>
      <c r="AX248" s="52" t="str">
        <f t="shared" si="131"/>
        <v>ملتزم</v>
      </c>
      <c r="AY248" s="52" t="s">
        <v>69</v>
      </c>
      <c r="AZ248" s="43" t="s">
        <v>107</v>
      </c>
      <c r="BA248" s="70"/>
      <c r="BB248" s="70"/>
      <c r="BC248" s="70"/>
      <c r="BD248" s="52"/>
      <c r="BE248" s="68">
        <v>14662.5</v>
      </c>
      <c r="BF248" s="52"/>
      <c r="BG248" s="52"/>
      <c r="BH248" s="52"/>
      <c r="BI248" s="54" t="s">
        <v>72</v>
      </c>
      <c r="BJ248" s="54">
        <f>(U248+V248+AE248)-BD248-BE248</f>
        <v>10637.5</v>
      </c>
      <c r="BK248" s="52" t="s">
        <v>113</v>
      </c>
    </row>
    <row r="249" spans="1:63" ht="34.5" hidden="1" customHeight="1" x14ac:dyDescent="0.25">
      <c r="A249" s="35">
        <f t="shared" si="133"/>
        <v>72</v>
      </c>
      <c r="B249" s="57" t="s">
        <v>520</v>
      </c>
      <c r="C249" s="57">
        <v>20537003170</v>
      </c>
      <c r="D249" s="37" t="s">
        <v>106</v>
      </c>
      <c r="E249" s="37" t="b">
        <v>0</v>
      </c>
      <c r="F249" s="37"/>
      <c r="G249" s="38">
        <v>46022</v>
      </c>
      <c r="H249" s="42">
        <v>1</v>
      </c>
      <c r="I249" s="42">
        <v>41</v>
      </c>
      <c r="J249" s="97" t="s">
        <v>164</v>
      </c>
      <c r="K249" s="100">
        <v>7080717025</v>
      </c>
      <c r="L249" s="100">
        <v>504899086</v>
      </c>
      <c r="M249" s="98">
        <v>1003337084</v>
      </c>
      <c r="N249" s="35" t="s">
        <v>73</v>
      </c>
      <c r="O249" s="42" t="s">
        <v>74</v>
      </c>
      <c r="P249" s="35"/>
      <c r="Q249" s="35"/>
      <c r="R249" s="35">
        <v>20</v>
      </c>
      <c r="S249" s="62">
        <v>23000</v>
      </c>
      <c r="T249" s="44">
        <f t="shared" si="139"/>
        <v>2300</v>
      </c>
      <c r="U249" s="63">
        <f t="shared" si="140"/>
        <v>25300</v>
      </c>
      <c r="V249" s="64"/>
      <c r="W249" s="64"/>
      <c r="X249" s="101"/>
      <c r="Y249" s="48">
        <f t="shared" si="129"/>
        <v>0</v>
      </c>
      <c r="Z249" s="102">
        <v>0</v>
      </c>
      <c r="AA249" s="50">
        <f t="shared" si="138"/>
        <v>0</v>
      </c>
      <c r="AB249" s="50"/>
      <c r="AC249" s="51">
        <v>26450</v>
      </c>
      <c r="AD249" s="52">
        <f>S249*1.15-AC249</f>
        <v>0</v>
      </c>
      <c r="AE249" s="53">
        <f>S249*1.15+X249-AB249-AC249</f>
        <v>0</v>
      </c>
      <c r="AF249" s="52" t="b">
        <v>0</v>
      </c>
      <c r="AG249" s="52"/>
      <c r="AH249" s="52"/>
      <c r="AI249" s="52"/>
      <c r="AJ249" s="52"/>
      <c r="AK249" s="52"/>
      <c r="AL249" s="52"/>
      <c r="AM249" s="52" t="b">
        <v>0</v>
      </c>
      <c r="AN249" s="52"/>
      <c r="AO249" s="52"/>
      <c r="AP249" s="52"/>
      <c r="AQ249" s="52"/>
      <c r="AR249" s="52"/>
      <c r="AS249" s="52" t="b">
        <v>0</v>
      </c>
      <c r="AT249" s="52"/>
      <c r="AU249" s="52"/>
      <c r="AV249" s="52"/>
      <c r="AW249" s="52"/>
      <c r="AX249" s="52" t="str">
        <f t="shared" si="131"/>
        <v>ملتزم</v>
      </c>
      <c r="AY249" s="52" t="s">
        <v>69</v>
      </c>
      <c r="AZ249" s="43" t="s">
        <v>107</v>
      </c>
      <c r="BA249" s="70"/>
      <c r="BB249" s="70"/>
      <c r="BC249" s="70"/>
      <c r="BD249" s="52"/>
      <c r="BE249" s="68">
        <v>14662.5</v>
      </c>
      <c r="BF249" s="52"/>
      <c r="BG249" s="52"/>
      <c r="BH249" s="52"/>
      <c r="BI249" s="54" t="s">
        <v>72</v>
      </c>
      <c r="BJ249" s="54">
        <f>(U249+V249+AE249)-BD249-BE249</f>
        <v>10637.5</v>
      </c>
      <c r="BK249" s="52" t="s">
        <v>113</v>
      </c>
    </row>
    <row r="250" spans="1:63" ht="34.5" hidden="1" customHeight="1" x14ac:dyDescent="0.25">
      <c r="A250" s="35">
        <f t="shared" si="133"/>
        <v>73</v>
      </c>
      <c r="B250" s="57" t="s">
        <v>520</v>
      </c>
      <c r="C250" s="57">
        <v>20914668807</v>
      </c>
      <c r="D250" s="37" t="s">
        <v>106</v>
      </c>
      <c r="E250" s="122" t="b">
        <v>0</v>
      </c>
      <c r="F250" s="122"/>
      <c r="G250" s="65">
        <v>46022</v>
      </c>
      <c r="H250" s="42">
        <v>1</v>
      </c>
      <c r="I250" s="42" t="s">
        <v>521</v>
      </c>
      <c r="J250" s="97" t="s">
        <v>164</v>
      </c>
      <c r="K250" s="98">
        <v>7013117025</v>
      </c>
      <c r="L250" s="98">
        <v>504899086</v>
      </c>
      <c r="M250" s="98">
        <v>1003337084</v>
      </c>
      <c r="N250" s="35" t="s">
        <v>73</v>
      </c>
      <c r="O250" s="42" t="s">
        <v>74</v>
      </c>
      <c r="P250" s="35"/>
      <c r="Q250" s="35"/>
      <c r="R250" s="35">
        <v>58.8</v>
      </c>
      <c r="S250" s="62">
        <v>36000</v>
      </c>
      <c r="T250" s="44">
        <f t="shared" si="139"/>
        <v>3600</v>
      </c>
      <c r="U250" s="63">
        <f t="shared" si="140"/>
        <v>39600</v>
      </c>
      <c r="V250" s="64"/>
      <c r="W250" s="64"/>
      <c r="X250" s="51">
        <v>0</v>
      </c>
      <c r="Y250" s="48">
        <f t="shared" si="129"/>
        <v>0</v>
      </c>
      <c r="Z250" s="49">
        <v>0</v>
      </c>
      <c r="AA250" s="50">
        <f t="shared" si="138"/>
        <v>0</v>
      </c>
      <c r="AB250" s="50"/>
      <c r="AC250" s="51">
        <v>41400</v>
      </c>
      <c r="AD250" s="52">
        <f>S250*1.15-AC250</f>
        <v>0</v>
      </c>
      <c r="AE250" s="53">
        <f>S250*1.15+X250-AB250-AC250</f>
        <v>0</v>
      </c>
      <c r="AF250" s="52" t="b">
        <v>0</v>
      </c>
      <c r="AG250" s="52"/>
      <c r="AH250" s="52"/>
      <c r="AI250" s="52"/>
      <c r="AJ250" s="52"/>
      <c r="AK250" s="52"/>
      <c r="AL250" s="52"/>
      <c r="AM250" s="52" t="b">
        <v>0</v>
      </c>
      <c r="AN250" s="52"/>
      <c r="AO250" s="52"/>
      <c r="AP250" s="52"/>
      <c r="AQ250" s="52"/>
      <c r="AR250" s="52"/>
      <c r="AS250" s="52" t="b">
        <v>0</v>
      </c>
      <c r="AT250" s="52"/>
      <c r="AU250" s="52"/>
      <c r="AV250" s="52"/>
      <c r="AW250" s="52"/>
      <c r="AX250" s="52" t="str">
        <f t="shared" si="131"/>
        <v>ملتزم</v>
      </c>
      <c r="AY250" s="54" t="s">
        <v>83</v>
      </c>
      <c r="AZ250" s="43" t="s">
        <v>107</v>
      </c>
      <c r="BA250" s="55"/>
      <c r="BB250" s="55"/>
      <c r="BC250" s="55"/>
      <c r="BD250" s="54"/>
      <c r="BE250" s="68">
        <v>34155</v>
      </c>
      <c r="BF250" s="54"/>
      <c r="BG250" s="54"/>
      <c r="BH250" s="54"/>
      <c r="BI250" s="54" t="s">
        <v>76</v>
      </c>
      <c r="BJ250" s="54">
        <f>(U250+V250+AE250)-BD250-BE250</f>
        <v>5445</v>
      </c>
      <c r="BK250" s="54" t="s">
        <v>113</v>
      </c>
    </row>
    <row r="251" spans="1:63" ht="34.5" hidden="1" customHeight="1" x14ac:dyDescent="0.25">
      <c r="A251" s="35">
        <f t="shared" si="133"/>
        <v>74</v>
      </c>
      <c r="B251" s="35" t="s">
        <v>522</v>
      </c>
      <c r="C251" s="105">
        <v>20200242447</v>
      </c>
      <c r="D251" s="37" t="s">
        <v>106</v>
      </c>
      <c r="E251" s="81" t="b">
        <v>0</v>
      </c>
      <c r="F251" s="81"/>
      <c r="G251" s="65">
        <v>46022</v>
      </c>
      <c r="H251" s="35">
        <v>2</v>
      </c>
      <c r="I251" s="35" t="s">
        <v>523</v>
      </c>
      <c r="J251" s="95" t="s">
        <v>524</v>
      </c>
      <c r="K251" s="81">
        <v>7015087682</v>
      </c>
      <c r="L251" s="81">
        <v>55256236</v>
      </c>
      <c r="M251" s="81">
        <v>1019673803</v>
      </c>
      <c r="N251" s="35" t="s">
        <v>73</v>
      </c>
      <c r="O251" s="35" t="s">
        <v>97</v>
      </c>
      <c r="P251" s="35">
        <v>10</v>
      </c>
      <c r="Q251" s="35">
        <v>4</v>
      </c>
      <c r="R251" s="35">
        <f t="shared" ref="R251:R267" si="141">P251*Q251</f>
        <v>40</v>
      </c>
      <c r="S251" s="44">
        <v>60000</v>
      </c>
      <c r="T251" s="44">
        <f t="shared" si="139"/>
        <v>6000</v>
      </c>
      <c r="U251" s="63">
        <f t="shared" si="140"/>
        <v>66000</v>
      </c>
      <c r="V251" s="106"/>
      <c r="W251" s="106"/>
      <c r="X251" s="45">
        <v>0</v>
      </c>
      <c r="Y251" s="48">
        <f t="shared" si="129"/>
        <v>0</v>
      </c>
      <c r="Z251" s="50">
        <v>0</v>
      </c>
      <c r="AA251" s="50">
        <f t="shared" si="138"/>
        <v>0</v>
      </c>
      <c r="AB251" s="50"/>
      <c r="AC251" s="52">
        <v>69000</v>
      </c>
      <c r="AD251" s="52">
        <f>S251*1.15-AC251</f>
        <v>0</v>
      </c>
      <c r="AE251" s="53">
        <f>S251*1.15+X251-AB251-AC251</f>
        <v>0</v>
      </c>
      <c r="AF251" s="52" t="b">
        <v>0</v>
      </c>
      <c r="AG251" s="52"/>
      <c r="AH251" s="52"/>
      <c r="AI251" s="52"/>
      <c r="AJ251" s="52"/>
      <c r="AK251" s="52"/>
      <c r="AL251" s="52"/>
      <c r="AM251" s="52" t="b">
        <v>0</v>
      </c>
      <c r="AN251" s="52"/>
      <c r="AO251" s="52"/>
      <c r="AP251" s="52"/>
      <c r="AQ251" s="52"/>
      <c r="AR251" s="52"/>
      <c r="AS251" s="52" t="b">
        <v>0</v>
      </c>
      <c r="AT251" s="52"/>
      <c r="AU251" s="52"/>
      <c r="AV251" s="52"/>
      <c r="AW251" s="52"/>
      <c r="AX251" s="52" t="str">
        <f t="shared" si="131"/>
        <v>ملتزم</v>
      </c>
      <c r="AY251" s="54" t="s">
        <v>77</v>
      </c>
      <c r="AZ251" s="43" t="s">
        <v>107</v>
      </c>
      <c r="BA251" s="55"/>
      <c r="BB251" s="55"/>
      <c r="BC251" s="55"/>
      <c r="BD251" s="54"/>
      <c r="BE251" s="68">
        <v>0</v>
      </c>
      <c r="BF251" s="54"/>
      <c r="BG251" s="54"/>
      <c r="BH251" s="54"/>
      <c r="BI251" s="52" t="s">
        <v>76</v>
      </c>
      <c r="BJ251" s="54">
        <f>(U251+V251+AE251)-BD251-BE251</f>
        <v>66000</v>
      </c>
      <c r="BK251" s="54"/>
    </row>
    <row r="252" spans="1:63" ht="34.5" hidden="1" customHeight="1" x14ac:dyDescent="0.25">
      <c r="A252" s="35">
        <f t="shared" si="133"/>
        <v>75</v>
      </c>
      <c r="B252" s="35" t="s">
        <v>525</v>
      </c>
      <c r="C252" s="105"/>
      <c r="D252" s="81" t="s">
        <v>134</v>
      </c>
      <c r="E252" s="81" t="b">
        <v>1</v>
      </c>
      <c r="F252" s="164">
        <v>45879</v>
      </c>
      <c r="G252" s="65"/>
      <c r="H252" s="35">
        <v>3</v>
      </c>
      <c r="I252" s="35" t="s">
        <v>526</v>
      </c>
      <c r="J252" s="95" t="s">
        <v>527</v>
      </c>
      <c r="K252" s="81">
        <v>7012639063</v>
      </c>
      <c r="L252" s="81">
        <v>553008899</v>
      </c>
      <c r="M252" s="81">
        <v>1008362228</v>
      </c>
      <c r="N252" s="35" t="s">
        <v>73</v>
      </c>
      <c r="O252" s="35" t="s">
        <v>97</v>
      </c>
      <c r="P252" s="35">
        <v>10.47</v>
      </c>
      <c r="Q252" s="35">
        <v>7.9</v>
      </c>
      <c r="R252" s="35">
        <f t="shared" si="141"/>
        <v>82.713000000000008</v>
      </c>
      <c r="S252" s="44">
        <v>98000</v>
      </c>
      <c r="T252" s="44">
        <f>S252*20/100</f>
        <v>19600</v>
      </c>
      <c r="U252" s="63">
        <f t="shared" si="140"/>
        <v>117600</v>
      </c>
      <c r="V252" s="106"/>
      <c r="W252" s="106"/>
      <c r="X252" s="45">
        <v>163414</v>
      </c>
      <c r="Y252" s="48">
        <f t="shared" si="129"/>
        <v>142099.13043478262</v>
      </c>
      <c r="Z252" s="50">
        <v>0</v>
      </c>
      <c r="AA252" s="50">
        <f t="shared" si="138"/>
        <v>0</v>
      </c>
      <c r="AB252" s="50">
        <v>105000</v>
      </c>
      <c r="AC252" s="52">
        <v>0</v>
      </c>
      <c r="AD252" s="52">
        <f>S252*1.15-AC252</f>
        <v>112699.99999999999</v>
      </c>
      <c r="AE252" s="53">
        <f>S252*1.15+X252-AB252-AC252</f>
        <v>171114</v>
      </c>
      <c r="AF252" s="52" t="b">
        <v>0</v>
      </c>
      <c r="AG252" s="52"/>
      <c r="AH252" s="52"/>
      <c r="AI252" s="52"/>
      <c r="AJ252" s="52"/>
      <c r="AK252" s="52"/>
      <c r="AL252" s="52"/>
      <c r="AM252" s="52" t="b">
        <v>0</v>
      </c>
      <c r="AN252" s="52"/>
      <c r="AO252" s="52"/>
      <c r="AP252" s="52"/>
      <c r="AQ252" s="52"/>
      <c r="AR252" s="52"/>
      <c r="AS252" s="52" t="b">
        <v>0</v>
      </c>
      <c r="AT252" s="52"/>
      <c r="AU252" s="52"/>
      <c r="AV252" s="52"/>
      <c r="AW252" s="52"/>
      <c r="AX252" s="52" t="str">
        <f t="shared" si="131"/>
        <v>غير ملتزم</v>
      </c>
      <c r="AY252" s="54" t="s">
        <v>77</v>
      </c>
      <c r="AZ252" s="43"/>
      <c r="BA252" s="55" t="s">
        <v>528</v>
      </c>
      <c r="BB252" s="55"/>
      <c r="BC252" s="55"/>
      <c r="BD252" s="54"/>
      <c r="BE252" s="68">
        <v>0</v>
      </c>
      <c r="BF252" s="54"/>
      <c r="BG252" s="54"/>
      <c r="BH252" s="54"/>
      <c r="BI252" s="54"/>
      <c r="BJ252" s="54">
        <f>(U252+V252+AE252)-BD252-BE252</f>
        <v>288714</v>
      </c>
      <c r="BK252" s="54"/>
    </row>
    <row r="253" spans="1:63" ht="34.5" hidden="1" customHeight="1" x14ac:dyDescent="0.25">
      <c r="A253" s="35">
        <f t="shared" si="133"/>
        <v>76</v>
      </c>
      <c r="B253" s="35" t="s">
        <v>529</v>
      </c>
      <c r="C253" s="105">
        <v>20328454118</v>
      </c>
      <c r="D253" s="37" t="s">
        <v>106</v>
      </c>
      <c r="E253" s="81" t="b">
        <v>0</v>
      </c>
      <c r="F253" s="81"/>
      <c r="G253" s="65">
        <v>46022</v>
      </c>
      <c r="H253" s="35">
        <v>1</v>
      </c>
      <c r="I253" s="35">
        <v>332</v>
      </c>
      <c r="J253" s="95" t="s">
        <v>530</v>
      </c>
      <c r="K253" s="81">
        <v>7014497890</v>
      </c>
      <c r="L253" s="81">
        <v>506606679</v>
      </c>
      <c r="M253" s="81">
        <v>1016212126</v>
      </c>
      <c r="N253" s="35" t="s">
        <v>73</v>
      </c>
      <c r="O253" s="35" t="s">
        <v>97</v>
      </c>
      <c r="P253" s="35">
        <v>5</v>
      </c>
      <c r="Q253" s="35">
        <v>4</v>
      </c>
      <c r="R253" s="35">
        <f t="shared" si="141"/>
        <v>20</v>
      </c>
      <c r="S253" s="44">
        <v>30000</v>
      </c>
      <c r="T253" s="44">
        <f>S253*10/100</f>
        <v>3000</v>
      </c>
      <c r="U253" s="63">
        <f t="shared" si="140"/>
        <v>33000</v>
      </c>
      <c r="V253" s="140"/>
      <c r="W253" s="140"/>
      <c r="X253" s="52">
        <v>0</v>
      </c>
      <c r="Y253" s="48">
        <f t="shared" si="129"/>
        <v>0</v>
      </c>
      <c r="Z253" s="50">
        <v>0</v>
      </c>
      <c r="AA253" s="50">
        <f t="shared" si="138"/>
        <v>0</v>
      </c>
      <c r="AB253" s="50"/>
      <c r="AC253" s="52">
        <v>34500</v>
      </c>
      <c r="AD253" s="52">
        <f>S253*1.15-AC253</f>
        <v>0</v>
      </c>
      <c r="AE253" s="53">
        <f>S253*1.15+X253-AB253-AC253</f>
        <v>0</v>
      </c>
      <c r="AF253" s="52" t="b">
        <v>0</v>
      </c>
      <c r="AG253" s="52"/>
      <c r="AH253" s="52"/>
      <c r="AI253" s="52"/>
      <c r="AJ253" s="52"/>
      <c r="AK253" s="52"/>
      <c r="AL253" s="52"/>
      <c r="AM253" s="52" t="b">
        <v>0</v>
      </c>
      <c r="AN253" s="52"/>
      <c r="AO253" s="52"/>
      <c r="AP253" s="52"/>
      <c r="AQ253" s="52"/>
      <c r="AR253" s="52"/>
      <c r="AS253" s="52" t="b">
        <v>0</v>
      </c>
      <c r="AT253" s="52"/>
      <c r="AU253" s="52"/>
      <c r="AV253" s="52"/>
      <c r="AW253" s="52"/>
      <c r="AX253" s="52" t="str">
        <f t="shared" si="131"/>
        <v>ملتزم</v>
      </c>
      <c r="AY253" s="54" t="s">
        <v>69</v>
      </c>
      <c r="AZ253" s="43" t="s">
        <v>107</v>
      </c>
      <c r="BA253" s="55"/>
      <c r="BB253" s="55"/>
      <c r="BC253" s="55"/>
      <c r="BD253" s="54"/>
      <c r="BE253" s="68">
        <v>19090</v>
      </c>
      <c r="BF253" s="54"/>
      <c r="BG253" s="54"/>
      <c r="BH253" s="54"/>
      <c r="BI253" s="54" t="s">
        <v>112</v>
      </c>
      <c r="BJ253" s="54">
        <f>(U253+V253+AE253)-BD253-BE253</f>
        <v>13910</v>
      </c>
      <c r="BK253" s="54" t="s">
        <v>113</v>
      </c>
    </row>
    <row r="254" spans="1:63" ht="34.5" hidden="1" customHeight="1" x14ac:dyDescent="0.25">
      <c r="A254" s="35">
        <f t="shared" si="133"/>
        <v>77</v>
      </c>
      <c r="B254" s="35" t="s">
        <v>531</v>
      </c>
      <c r="C254" s="108"/>
      <c r="D254" s="81" t="s">
        <v>100</v>
      </c>
      <c r="E254" s="81" t="b">
        <v>0</v>
      </c>
      <c r="F254" s="81"/>
      <c r="G254" s="65"/>
      <c r="H254" s="35">
        <v>1</v>
      </c>
      <c r="I254" s="35">
        <v>14</v>
      </c>
      <c r="J254" s="93" t="s">
        <v>532</v>
      </c>
      <c r="K254" s="85">
        <v>7013201228</v>
      </c>
      <c r="L254" s="81">
        <v>553555061</v>
      </c>
      <c r="M254" s="81">
        <v>1023050055</v>
      </c>
      <c r="N254" s="35" t="s">
        <v>64</v>
      </c>
      <c r="O254" s="42" t="s">
        <v>97</v>
      </c>
      <c r="P254" s="35">
        <v>6.5</v>
      </c>
      <c r="Q254" s="35">
        <v>4.2699999999999996</v>
      </c>
      <c r="R254" s="35">
        <f t="shared" si="141"/>
        <v>27.754999999999995</v>
      </c>
      <c r="S254" s="43">
        <v>34200</v>
      </c>
      <c r="T254" s="44">
        <f>S254*20/100</f>
        <v>6840</v>
      </c>
      <c r="U254" s="63">
        <f t="shared" si="140"/>
        <v>41040</v>
      </c>
      <c r="V254" s="106"/>
      <c r="W254" s="106"/>
      <c r="X254" s="52">
        <v>29543.5</v>
      </c>
      <c r="Y254" s="48">
        <f t="shared" si="129"/>
        <v>25690.000000000004</v>
      </c>
      <c r="Z254" s="69">
        <v>0</v>
      </c>
      <c r="AA254" s="50">
        <f t="shared" si="138"/>
        <v>0</v>
      </c>
      <c r="AB254" s="50">
        <v>0</v>
      </c>
      <c r="AC254" s="52">
        <v>0</v>
      </c>
      <c r="AD254" s="52">
        <f>S254*1.15-AC254</f>
        <v>39330</v>
      </c>
      <c r="AE254" s="53">
        <f>S254*1.15+X254-AB254-AC254</f>
        <v>68873.5</v>
      </c>
      <c r="AF254" s="52" t="b">
        <v>0</v>
      </c>
      <c r="AG254" s="52"/>
      <c r="AH254" s="52"/>
      <c r="AI254" s="52"/>
      <c r="AJ254" s="52"/>
      <c r="AK254" s="52"/>
      <c r="AL254" s="52"/>
      <c r="AM254" s="52" t="b">
        <v>0</v>
      </c>
      <c r="AN254" s="52"/>
      <c r="AO254" s="52"/>
      <c r="AP254" s="52"/>
      <c r="AQ254" s="52"/>
      <c r="AR254" s="52"/>
      <c r="AS254" s="52" t="b">
        <v>0</v>
      </c>
      <c r="AT254" s="52"/>
      <c r="AU254" s="52"/>
      <c r="AV254" s="52"/>
      <c r="AW254" s="52"/>
      <c r="AX254" s="52" t="str">
        <f t="shared" si="131"/>
        <v>غير ملتزم</v>
      </c>
      <c r="AY254" s="54" t="s">
        <v>85</v>
      </c>
      <c r="AZ254" s="43" t="s">
        <v>103</v>
      </c>
      <c r="BA254" s="55" t="s">
        <v>82</v>
      </c>
      <c r="BB254" s="55"/>
      <c r="BC254" s="55"/>
      <c r="BD254" s="54"/>
      <c r="BE254" s="68">
        <v>0</v>
      </c>
      <c r="BF254" s="54"/>
      <c r="BG254" s="54"/>
      <c r="BH254" s="54"/>
      <c r="BI254" s="54" t="s">
        <v>76</v>
      </c>
      <c r="BJ254" s="54">
        <f>(U254+V254+AE254)-BD254-BE254</f>
        <v>109913.5</v>
      </c>
      <c r="BK254" s="54"/>
    </row>
    <row r="255" spans="1:63" ht="34.5" hidden="1" customHeight="1" x14ac:dyDescent="0.25">
      <c r="A255" s="35">
        <f t="shared" si="133"/>
        <v>78</v>
      </c>
      <c r="B255" s="57" t="s">
        <v>533</v>
      </c>
      <c r="C255" s="57"/>
      <c r="D255" s="37" t="s">
        <v>106</v>
      </c>
      <c r="E255" s="81" t="b">
        <v>0</v>
      </c>
      <c r="F255" s="81"/>
      <c r="G255" s="65">
        <v>46022</v>
      </c>
      <c r="H255" s="42">
        <v>1</v>
      </c>
      <c r="I255" s="165">
        <v>17</v>
      </c>
      <c r="J255" s="59">
        <v>19725</v>
      </c>
      <c r="K255" s="61">
        <v>7001741324</v>
      </c>
      <c r="L255" s="61">
        <v>507623465</v>
      </c>
      <c r="M255" s="61">
        <v>2054297961</v>
      </c>
      <c r="N255" s="35" t="s">
        <v>73</v>
      </c>
      <c r="O255" s="42" t="s">
        <v>74</v>
      </c>
      <c r="P255" s="35">
        <v>7.7</v>
      </c>
      <c r="Q255" s="35">
        <v>6.9</v>
      </c>
      <c r="R255" s="35">
        <f t="shared" si="141"/>
        <v>53.13</v>
      </c>
      <c r="S255" s="62">
        <v>27500</v>
      </c>
      <c r="T255" s="44">
        <f>S255*10/100</f>
        <v>2750</v>
      </c>
      <c r="U255" s="63">
        <f t="shared" si="140"/>
        <v>30250</v>
      </c>
      <c r="V255" s="99"/>
      <c r="W255" s="99"/>
      <c r="X255" s="52">
        <v>0</v>
      </c>
      <c r="Y255" s="48">
        <f t="shared" si="129"/>
        <v>0</v>
      </c>
      <c r="Z255" s="69">
        <v>0</v>
      </c>
      <c r="AA255" s="50">
        <f t="shared" si="138"/>
        <v>0</v>
      </c>
      <c r="AB255" s="50"/>
      <c r="AC255" s="52">
        <v>31625</v>
      </c>
      <c r="AD255" s="52">
        <f>S255*1.15-AC255</f>
        <v>0</v>
      </c>
      <c r="AE255" s="53">
        <f>S255*1.15+X255-AB255-AC255</f>
        <v>0</v>
      </c>
      <c r="AF255" s="52" t="b">
        <v>0</v>
      </c>
      <c r="AG255" s="52"/>
      <c r="AH255" s="52"/>
      <c r="AI255" s="52"/>
      <c r="AJ255" s="52"/>
      <c r="AK255" s="52"/>
      <c r="AL255" s="52"/>
      <c r="AM255" s="52" t="b">
        <v>0</v>
      </c>
      <c r="AN255" s="52"/>
      <c r="AO255" s="52"/>
      <c r="AP255" s="52"/>
      <c r="AQ255" s="52"/>
      <c r="AR255" s="52"/>
      <c r="AS255" s="52" t="b">
        <v>0</v>
      </c>
      <c r="AT255" s="52"/>
      <c r="AU255" s="52"/>
      <c r="AV255" s="52"/>
      <c r="AW255" s="52"/>
      <c r="AX255" s="52" t="str">
        <f t="shared" si="131"/>
        <v>ملتزم</v>
      </c>
      <c r="AY255" s="54" t="s">
        <v>77</v>
      </c>
      <c r="AZ255" s="43" t="s">
        <v>107</v>
      </c>
      <c r="BA255" s="55"/>
      <c r="BB255" s="55"/>
      <c r="BC255" s="55"/>
      <c r="BD255" s="54"/>
      <c r="BE255" s="68">
        <v>17508</v>
      </c>
      <c r="BF255" s="54"/>
      <c r="BG255" s="54"/>
      <c r="BH255" s="54"/>
      <c r="BI255" s="54" t="s">
        <v>72</v>
      </c>
      <c r="BJ255" s="54">
        <f>(U255+V255+AE255)-BD255-BE255</f>
        <v>12742</v>
      </c>
      <c r="BK255" s="54"/>
    </row>
    <row r="256" spans="1:63" ht="34.5" hidden="1" customHeight="1" x14ac:dyDescent="0.25">
      <c r="A256" s="35">
        <f t="shared" si="133"/>
        <v>79</v>
      </c>
      <c r="B256" s="35" t="s">
        <v>533</v>
      </c>
      <c r="C256" s="105">
        <v>20112773790</v>
      </c>
      <c r="D256" s="37" t="s">
        <v>106</v>
      </c>
      <c r="E256" s="81" t="b">
        <v>0</v>
      </c>
      <c r="F256" s="81"/>
      <c r="G256" s="113">
        <v>46022</v>
      </c>
      <c r="H256" s="35">
        <v>1</v>
      </c>
      <c r="I256" s="35">
        <v>215</v>
      </c>
      <c r="J256" s="95" t="s">
        <v>534</v>
      </c>
      <c r="K256" s="114">
        <v>7004763012</v>
      </c>
      <c r="L256" s="114">
        <v>530106786</v>
      </c>
      <c r="M256" s="81">
        <v>1113778847</v>
      </c>
      <c r="N256" s="35" t="s">
        <v>73</v>
      </c>
      <c r="O256" s="35" t="s">
        <v>97</v>
      </c>
      <c r="P256" s="35">
        <v>6.95</v>
      </c>
      <c r="Q256" s="35">
        <v>4.1500000000000004</v>
      </c>
      <c r="R256" s="35">
        <f t="shared" si="141"/>
        <v>28.842500000000005</v>
      </c>
      <c r="S256" s="44">
        <v>30000</v>
      </c>
      <c r="T256" s="44">
        <f>S256*20/100</f>
        <v>6000</v>
      </c>
      <c r="U256" s="63">
        <f>S256+T256+200</f>
        <v>36200</v>
      </c>
      <c r="V256" s="44"/>
      <c r="W256" s="44"/>
      <c r="X256" s="115">
        <v>0</v>
      </c>
      <c r="Y256" s="89">
        <f t="shared" si="129"/>
        <v>0</v>
      </c>
      <c r="Z256" s="91">
        <v>0</v>
      </c>
      <c r="AA256" s="91">
        <v>0</v>
      </c>
      <c r="AB256" s="91"/>
      <c r="AC256" s="54">
        <v>34500</v>
      </c>
      <c r="AD256" s="54">
        <f>S256*1.15-AC256</f>
        <v>0</v>
      </c>
      <c r="AE256" s="53">
        <f>S256*1.15+X256-AB256-AC256</f>
        <v>0</v>
      </c>
      <c r="AF256" s="54" t="b">
        <v>1</v>
      </c>
      <c r="AG256" s="134">
        <v>45667</v>
      </c>
      <c r="AH256" s="54">
        <v>20700</v>
      </c>
      <c r="AI256" s="54" t="s">
        <v>68</v>
      </c>
      <c r="AJ256" s="52" t="s">
        <v>136</v>
      </c>
      <c r="AK256" s="128" t="s">
        <v>535</v>
      </c>
      <c r="AL256" s="128"/>
      <c r="AM256" s="54" t="b">
        <v>0</v>
      </c>
      <c r="AN256" s="117">
        <v>45971</v>
      </c>
      <c r="AO256" s="54">
        <v>20700</v>
      </c>
      <c r="AP256" s="54"/>
      <c r="AQ256" s="54"/>
      <c r="AR256" s="54"/>
      <c r="AS256" s="54" t="b">
        <v>0</v>
      </c>
      <c r="AT256" s="118"/>
      <c r="AU256" s="54"/>
      <c r="AV256" s="54"/>
      <c r="AW256" s="54"/>
      <c r="AX256" s="54" t="str">
        <f t="shared" si="131"/>
        <v>ملتزم</v>
      </c>
      <c r="AY256" s="54" t="s">
        <v>77</v>
      </c>
      <c r="AZ256" s="43" t="s">
        <v>107</v>
      </c>
      <c r="BA256" s="55"/>
      <c r="BB256" s="55"/>
      <c r="BC256" s="55"/>
      <c r="BD256" s="54"/>
      <c r="BE256" s="68">
        <v>10349</v>
      </c>
      <c r="BF256" s="54"/>
      <c r="BG256" s="54"/>
      <c r="BH256" s="54"/>
      <c r="BI256" s="52" t="s">
        <v>72</v>
      </c>
      <c r="BJ256" s="54">
        <f>(U256+V256+AE256)-BD256-BE256</f>
        <v>25851</v>
      </c>
      <c r="BK256" s="54" t="s">
        <v>536</v>
      </c>
    </row>
    <row r="257" spans="1:63" ht="34.5" hidden="1" customHeight="1" x14ac:dyDescent="0.25">
      <c r="A257" s="35">
        <f t="shared" si="133"/>
        <v>80</v>
      </c>
      <c r="B257" s="35" t="s">
        <v>537</v>
      </c>
      <c r="C257" s="35"/>
      <c r="D257" s="37" t="s">
        <v>106</v>
      </c>
      <c r="E257" s="81" t="b">
        <v>0</v>
      </c>
      <c r="F257" s="81"/>
      <c r="G257" s="65">
        <v>46022</v>
      </c>
      <c r="H257" s="35">
        <v>1</v>
      </c>
      <c r="I257" s="35">
        <v>127</v>
      </c>
      <c r="J257" s="95" t="s">
        <v>538</v>
      </c>
      <c r="K257" s="81">
        <v>7009847893</v>
      </c>
      <c r="L257" s="81">
        <v>548104881</v>
      </c>
      <c r="M257" s="81">
        <v>1119478038</v>
      </c>
      <c r="N257" s="35" t="s">
        <v>64</v>
      </c>
      <c r="O257" s="42" t="s">
        <v>84</v>
      </c>
      <c r="P257" s="35">
        <v>10.199999999999999</v>
      </c>
      <c r="Q257" s="35">
        <v>7.8</v>
      </c>
      <c r="R257" s="35">
        <f t="shared" si="141"/>
        <v>79.559999999999988</v>
      </c>
      <c r="S257" s="43">
        <v>30000</v>
      </c>
      <c r="T257" s="44">
        <f t="shared" ref="T257:T263" si="142">S257*10/100</f>
        <v>3000</v>
      </c>
      <c r="U257" s="63">
        <f t="shared" ref="U257:U259" si="143">S257+T257</f>
        <v>33000</v>
      </c>
      <c r="V257" s="129">
        <v>37500</v>
      </c>
      <c r="W257" s="129"/>
      <c r="X257" s="82"/>
      <c r="Y257" s="48">
        <f t="shared" si="129"/>
        <v>0</v>
      </c>
      <c r="Z257" s="83">
        <v>0</v>
      </c>
      <c r="AA257" s="50">
        <f>Z257/1.15</f>
        <v>0</v>
      </c>
      <c r="AB257" s="50"/>
      <c r="AC257" s="82">
        <v>34500</v>
      </c>
      <c r="AD257" s="52">
        <f>S257*1.15-AC257</f>
        <v>0</v>
      </c>
      <c r="AE257" s="53">
        <f>S257*1.15+X257-AB257-AC257</f>
        <v>0</v>
      </c>
      <c r="AF257" s="52" t="b">
        <v>0</v>
      </c>
      <c r="AG257" s="52"/>
      <c r="AH257" s="52"/>
      <c r="AI257" s="52"/>
      <c r="AJ257" s="52"/>
      <c r="AK257" s="52"/>
      <c r="AL257" s="52"/>
      <c r="AM257" s="52" t="b">
        <v>0</v>
      </c>
      <c r="AN257" s="52"/>
      <c r="AO257" s="52"/>
      <c r="AP257" s="52"/>
      <c r="AQ257" s="52"/>
      <c r="AR257" s="52"/>
      <c r="AS257" s="52" t="b">
        <v>0</v>
      </c>
      <c r="AT257" s="52"/>
      <c r="AU257" s="52"/>
      <c r="AV257" s="52"/>
      <c r="AW257" s="52"/>
      <c r="AX257" s="52" t="str">
        <f t="shared" si="131"/>
        <v>ملتزم</v>
      </c>
      <c r="AY257" s="54" t="s">
        <v>77</v>
      </c>
      <c r="AZ257" s="43" t="s">
        <v>107</v>
      </c>
      <c r="BA257" s="55"/>
      <c r="BB257" s="55"/>
      <c r="BC257" s="55"/>
      <c r="BD257" s="54"/>
      <c r="BE257" s="54"/>
      <c r="BF257" s="54"/>
      <c r="BG257" s="54"/>
      <c r="BH257" s="54"/>
      <c r="BI257" s="54" t="s">
        <v>72</v>
      </c>
      <c r="BJ257" s="54">
        <f>(U257+V257+AE257)-BD257-BE257</f>
        <v>70500</v>
      </c>
      <c r="BK257" s="54"/>
    </row>
    <row r="258" spans="1:63" ht="34.5" hidden="1" customHeight="1" x14ac:dyDescent="0.25">
      <c r="A258" s="35">
        <f t="shared" si="133"/>
        <v>81</v>
      </c>
      <c r="B258" s="35" t="s">
        <v>539</v>
      </c>
      <c r="C258" s="105">
        <v>20455132064</v>
      </c>
      <c r="D258" s="37" t="s">
        <v>106</v>
      </c>
      <c r="E258" s="81" t="b">
        <v>0</v>
      </c>
      <c r="F258" s="81"/>
      <c r="G258" s="65">
        <v>46022</v>
      </c>
      <c r="H258" s="35">
        <v>2</v>
      </c>
      <c r="I258" s="35" t="s">
        <v>540</v>
      </c>
      <c r="J258" s="95" t="s">
        <v>357</v>
      </c>
      <c r="K258" s="81">
        <v>7013665224</v>
      </c>
      <c r="L258" s="81">
        <v>506649896</v>
      </c>
      <c r="M258" s="81">
        <v>1089007692</v>
      </c>
      <c r="N258" s="35" t="s">
        <v>73</v>
      </c>
      <c r="O258" s="35" t="s">
        <v>97</v>
      </c>
      <c r="P258" s="35">
        <v>8</v>
      </c>
      <c r="Q258" s="35">
        <v>4.5</v>
      </c>
      <c r="R258" s="35">
        <f t="shared" si="141"/>
        <v>36</v>
      </c>
      <c r="S258" s="44">
        <v>60000</v>
      </c>
      <c r="T258" s="44">
        <f t="shared" si="142"/>
        <v>6000</v>
      </c>
      <c r="U258" s="63">
        <f t="shared" si="143"/>
        <v>66000</v>
      </c>
      <c r="V258" s="106"/>
      <c r="W258" s="106"/>
      <c r="X258" s="45">
        <v>5050</v>
      </c>
      <c r="Y258" s="48">
        <f t="shared" si="129"/>
        <v>4391.304347826087</v>
      </c>
      <c r="Z258" s="50">
        <v>0</v>
      </c>
      <c r="AA258" s="50">
        <v>0</v>
      </c>
      <c r="AB258" s="50"/>
      <c r="AC258" s="52">
        <v>5050</v>
      </c>
      <c r="AD258" s="52">
        <f>S258*1.15-AC258</f>
        <v>63950</v>
      </c>
      <c r="AE258" s="53">
        <f>S258*1.15+X258-AB258-AC258</f>
        <v>69000</v>
      </c>
      <c r="AF258" s="52" t="b">
        <v>0</v>
      </c>
      <c r="AG258" s="52"/>
      <c r="AH258" s="52"/>
      <c r="AI258" s="52"/>
      <c r="AJ258" s="52"/>
      <c r="AK258" s="52"/>
      <c r="AL258" s="52"/>
      <c r="AM258" s="52" t="b">
        <v>0</v>
      </c>
      <c r="AN258" s="52"/>
      <c r="AO258" s="52"/>
      <c r="AP258" s="52"/>
      <c r="AQ258" s="52"/>
      <c r="AR258" s="52"/>
      <c r="AS258" s="52" t="b">
        <v>0</v>
      </c>
      <c r="AT258" s="52"/>
      <c r="AU258" s="52"/>
      <c r="AV258" s="52"/>
      <c r="AW258" s="52"/>
      <c r="AX258" s="52" t="str">
        <f t="shared" si="131"/>
        <v>غير ملتزم</v>
      </c>
      <c r="AY258" s="54" t="s">
        <v>541</v>
      </c>
      <c r="AZ258" s="43" t="s">
        <v>107</v>
      </c>
      <c r="BA258" s="55"/>
      <c r="BB258" s="55"/>
      <c r="BC258" s="55"/>
      <c r="BD258" s="54"/>
      <c r="BE258" s="68"/>
      <c r="BF258" s="54"/>
      <c r="BG258" s="54"/>
      <c r="BH258" s="54"/>
      <c r="BI258" s="54" t="s">
        <v>76</v>
      </c>
      <c r="BJ258" s="54">
        <f>(U258+V258+AE258)-BD258-BE258</f>
        <v>135000</v>
      </c>
      <c r="BK258" s="54"/>
    </row>
    <row r="259" spans="1:63" ht="34.5" hidden="1" customHeight="1" x14ac:dyDescent="0.25">
      <c r="A259" s="35">
        <f t="shared" si="133"/>
        <v>82</v>
      </c>
      <c r="B259" s="35" t="s">
        <v>539</v>
      </c>
      <c r="C259" s="105">
        <v>20532743014</v>
      </c>
      <c r="D259" s="37" t="s">
        <v>106</v>
      </c>
      <c r="E259" s="81" t="b">
        <v>0</v>
      </c>
      <c r="F259" s="81"/>
      <c r="G259" s="65">
        <v>46022</v>
      </c>
      <c r="H259" s="35">
        <v>2</v>
      </c>
      <c r="I259" s="35" t="s">
        <v>542</v>
      </c>
      <c r="J259" s="95" t="s">
        <v>543</v>
      </c>
      <c r="K259" s="81">
        <v>7030247568</v>
      </c>
      <c r="L259" s="81">
        <v>506649896</v>
      </c>
      <c r="M259" s="81">
        <v>1089007692</v>
      </c>
      <c r="N259" s="35" t="s">
        <v>73</v>
      </c>
      <c r="O259" s="35" t="s">
        <v>97</v>
      </c>
      <c r="P259" s="35">
        <v>10.6</v>
      </c>
      <c r="Q259" s="35">
        <v>4.6500000000000004</v>
      </c>
      <c r="R259" s="35">
        <f t="shared" si="141"/>
        <v>49.29</v>
      </c>
      <c r="S259" s="43">
        <v>60000</v>
      </c>
      <c r="T259" s="44">
        <f t="shared" si="142"/>
        <v>6000</v>
      </c>
      <c r="U259" s="63">
        <f t="shared" si="143"/>
        <v>66000</v>
      </c>
      <c r="V259" s="106"/>
      <c r="W259" s="106"/>
      <c r="X259" s="52">
        <v>0</v>
      </c>
      <c r="Y259" s="48">
        <f t="shared" si="129"/>
        <v>0</v>
      </c>
      <c r="Z259" s="50">
        <v>0</v>
      </c>
      <c r="AA259" s="50">
        <f t="shared" ref="AA259:AA274" si="144">Z259/1.15</f>
        <v>0</v>
      </c>
      <c r="AB259" s="50"/>
      <c r="AC259" s="52">
        <v>69000</v>
      </c>
      <c r="AD259" s="52">
        <f>S259*1.15-AC259</f>
        <v>0</v>
      </c>
      <c r="AE259" s="53">
        <f>S259*1.15+X259-AB259-AC259</f>
        <v>0</v>
      </c>
      <c r="AF259" s="52" t="b">
        <v>0</v>
      </c>
      <c r="AG259" s="52"/>
      <c r="AH259" s="52"/>
      <c r="AI259" s="52"/>
      <c r="AJ259" s="52"/>
      <c r="AK259" s="52"/>
      <c r="AL259" s="52"/>
      <c r="AM259" s="52" t="b">
        <v>0</v>
      </c>
      <c r="AN259" s="52"/>
      <c r="AO259" s="52"/>
      <c r="AP259" s="52"/>
      <c r="AQ259" s="52"/>
      <c r="AR259" s="52"/>
      <c r="AS259" s="52" t="b">
        <v>0</v>
      </c>
      <c r="AT259" s="52"/>
      <c r="AU259" s="52"/>
      <c r="AV259" s="52"/>
      <c r="AW259" s="52"/>
      <c r="AX259" s="52" t="str">
        <f t="shared" si="131"/>
        <v>ملتزم</v>
      </c>
      <c r="AY259" s="54" t="s">
        <v>69</v>
      </c>
      <c r="AZ259" s="43" t="s">
        <v>107</v>
      </c>
      <c r="BA259" s="55"/>
      <c r="BB259" s="55"/>
      <c r="BC259" s="55"/>
      <c r="BD259" s="54"/>
      <c r="BE259" s="68">
        <v>38066</v>
      </c>
      <c r="BF259" s="54"/>
      <c r="BG259" s="54"/>
      <c r="BH259" s="54"/>
      <c r="BI259" s="54" t="s">
        <v>112</v>
      </c>
      <c r="BJ259" s="54">
        <f>(U259+V259+AE259)-BD259-BE259</f>
        <v>27934</v>
      </c>
      <c r="BK259" s="54" t="s">
        <v>113</v>
      </c>
    </row>
    <row r="260" spans="1:63" ht="34.5" hidden="1" customHeight="1" x14ac:dyDescent="0.25">
      <c r="A260" s="35">
        <f t="shared" si="133"/>
        <v>83</v>
      </c>
      <c r="B260" s="35" t="s">
        <v>544</v>
      </c>
      <c r="C260" s="105">
        <v>20824508433</v>
      </c>
      <c r="D260" s="37" t="s">
        <v>106</v>
      </c>
      <c r="E260" s="37" t="b">
        <v>0</v>
      </c>
      <c r="F260" s="37"/>
      <c r="G260" s="113">
        <v>46022</v>
      </c>
      <c r="H260" s="35">
        <v>2</v>
      </c>
      <c r="I260" s="35" t="s">
        <v>545</v>
      </c>
      <c r="J260" s="95" t="s">
        <v>183</v>
      </c>
      <c r="K260" s="81">
        <v>4030796225</v>
      </c>
      <c r="L260" s="81">
        <v>500867920</v>
      </c>
      <c r="M260" s="81">
        <v>1096051196</v>
      </c>
      <c r="N260" s="35" t="s">
        <v>73</v>
      </c>
      <c r="O260" s="35" t="s">
        <v>97</v>
      </c>
      <c r="P260" s="35">
        <v>10.4</v>
      </c>
      <c r="Q260" s="35">
        <v>3.6</v>
      </c>
      <c r="R260" s="35">
        <f t="shared" si="141"/>
        <v>37.440000000000005</v>
      </c>
      <c r="S260" s="44">
        <v>60000</v>
      </c>
      <c r="T260" s="44">
        <f t="shared" si="142"/>
        <v>6000</v>
      </c>
      <c r="U260" s="63">
        <f t="shared" ref="U260:U261" si="145">S260+T260+200</f>
        <v>66200</v>
      </c>
      <c r="V260" s="44"/>
      <c r="W260" s="44"/>
      <c r="X260" s="54">
        <v>0</v>
      </c>
      <c r="Y260" s="89">
        <f t="shared" si="129"/>
        <v>0</v>
      </c>
      <c r="Z260" s="91">
        <v>0</v>
      </c>
      <c r="AA260" s="91">
        <f t="shared" si="144"/>
        <v>0</v>
      </c>
      <c r="AB260" s="91"/>
      <c r="AC260" s="54">
        <v>69000</v>
      </c>
      <c r="AD260" s="54">
        <f>S260*1.15-AC260</f>
        <v>0</v>
      </c>
      <c r="AE260" s="53">
        <f>S260*1.15+X260-AB260-AC260</f>
        <v>0</v>
      </c>
      <c r="AF260" s="52" t="b">
        <v>0</v>
      </c>
      <c r="AG260" s="52"/>
      <c r="AH260" s="52"/>
      <c r="AI260" s="52"/>
      <c r="AJ260" s="52"/>
      <c r="AK260" s="52"/>
      <c r="AL260" s="52"/>
      <c r="AM260" s="52" t="b">
        <v>0</v>
      </c>
      <c r="AN260" s="52"/>
      <c r="AO260" s="52"/>
      <c r="AP260" s="52"/>
      <c r="AQ260" s="52"/>
      <c r="AR260" s="52"/>
      <c r="AS260" s="52" t="b">
        <v>0</v>
      </c>
      <c r="AT260" s="54"/>
      <c r="AU260" s="54"/>
      <c r="AV260" s="54"/>
      <c r="AW260" s="54"/>
      <c r="AX260" s="54" t="str">
        <f t="shared" si="131"/>
        <v>ملتزم</v>
      </c>
      <c r="AY260" s="54" t="s">
        <v>69</v>
      </c>
      <c r="AZ260" s="43" t="s">
        <v>107</v>
      </c>
      <c r="BA260" s="55"/>
      <c r="BB260" s="55"/>
      <c r="BC260" s="55"/>
      <c r="BD260" s="54"/>
      <c r="BE260" s="68">
        <v>38066</v>
      </c>
      <c r="BF260" s="54"/>
      <c r="BG260" s="54"/>
      <c r="BH260" s="54"/>
      <c r="BI260" s="54" t="s">
        <v>76</v>
      </c>
      <c r="BJ260" s="54">
        <f>(U260+V260+AE260)-BD260-BE260</f>
        <v>28134</v>
      </c>
      <c r="BK260" s="54" t="s">
        <v>113</v>
      </c>
    </row>
    <row r="261" spans="1:63" ht="34.5" hidden="1" customHeight="1" x14ac:dyDescent="0.25">
      <c r="A261" s="35">
        <f t="shared" si="133"/>
        <v>84</v>
      </c>
      <c r="B261" s="35" t="s">
        <v>544</v>
      </c>
      <c r="C261" s="105"/>
      <c r="D261" s="37" t="s">
        <v>106</v>
      </c>
      <c r="E261" s="81" t="b">
        <v>0</v>
      </c>
      <c r="F261" s="81"/>
      <c r="G261" s="113">
        <v>46022</v>
      </c>
      <c r="H261" s="35">
        <v>2</v>
      </c>
      <c r="I261" s="35" t="s">
        <v>546</v>
      </c>
      <c r="J261" s="95" t="s">
        <v>183</v>
      </c>
      <c r="K261" s="87">
        <v>7002853518</v>
      </c>
      <c r="L261" s="87">
        <v>500867920</v>
      </c>
      <c r="M261" s="81">
        <v>1096051196</v>
      </c>
      <c r="N261" s="35" t="s">
        <v>73</v>
      </c>
      <c r="O261" s="35" t="s">
        <v>97</v>
      </c>
      <c r="P261" s="35">
        <v>8.1</v>
      </c>
      <c r="Q261" s="35">
        <v>5</v>
      </c>
      <c r="R261" s="35">
        <f t="shared" si="141"/>
        <v>40.5</v>
      </c>
      <c r="S261" s="44">
        <v>67250</v>
      </c>
      <c r="T261" s="44">
        <f t="shared" si="142"/>
        <v>6725</v>
      </c>
      <c r="U261" s="63">
        <f t="shared" si="145"/>
        <v>74175</v>
      </c>
      <c r="V261" s="44"/>
      <c r="W261" s="44"/>
      <c r="X261" s="54">
        <v>0</v>
      </c>
      <c r="Y261" s="89">
        <f t="shared" si="129"/>
        <v>0</v>
      </c>
      <c r="Z261" s="91">
        <v>0</v>
      </c>
      <c r="AA261" s="91">
        <f t="shared" si="144"/>
        <v>0</v>
      </c>
      <c r="AB261" s="91"/>
      <c r="AC261" s="54">
        <v>77337.5</v>
      </c>
      <c r="AD261" s="54">
        <f>S261*1.15-AC261</f>
        <v>0</v>
      </c>
      <c r="AE261" s="53">
        <f>S261*1.15+X261-AB261-AC261</f>
        <v>0</v>
      </c>
      <c r="AF261" s="52" t="b">
        <v>0</v>
      </c>
      <c r="AG261" s="52"/>
      <c r="AH261" s="52"/>
      <c r="AI261" s="52"/>
      <c r="AJ261" s="52"/>
      <c r="AK261" s="52"/>
      <c r="AL261" s="52"/>
      <c r="AM261" s="52" t="b">
        <v>0</v>
      </c>
      <c r="AN261" s="52"/>
      <c r="AO261" s="52"/>
      <c r="AP261" s="52"/>
      <c r="AQ261" s="52"/>
      <c r="AR261" s="52"/>
      <c r="AS261" s="52" t="b">
        <v>0</v>
      </c>
      <c r="AT261" s="54"/>
      <c r="AU261" s="54"/>
      <c r="AV261" s="54"/>
      <c r="AW261" s="54"/>
      <c r="AX261" s="54" t="str">
        <f t="shared" si="131"/>
        <v>ملتزم</v>
      </c>
      <c r="AY261" s="54" t="s">
        <v>69</v>
      </c>
      <c r="AZ261" s="43" t="s">
        <v>107</v>
      </c>
      <c r="BA261" s="55"/>
      <c r="BB261" s="55"/>
      <c r="BC261" s="55"/>
      <c r="BD261" s="54"/>
      <c r="BE261" s="68">
        <v>42650</v>
      </c>
      <c r="BF261" s="54"/>
      <c r="BG261" s="54"/>
      <c r="BH261" s="54"/>
      <c r="BI261" s="54" t="s">
        <v>76</v>
      </c>
      <c r="BJ261" s="54">
        <f>(U261+V261+AE261)-BD261-BE261</f>
        <v>31525</v>
      </c>
      <c r="BK261" s="54" t="s">
        <v>113</v>
      </c>
    </row>
    <row r="262" spans="1:63" ht="34.5" hidden="1" customHeight="1" x14ac:dyDescent="0.25">
      <c r="A262" s="35">
        <f t="shared" si="133"/>
        <v>85</v>
      </c>
      <c r="B262" s="35" t="s">
        <v>547</v>
      </c>
      <c r="C262" s="105">
        <v>20700875493</v>
      </c>
      <c r="D262" s="37" t="s">
        <v>106</v>
      </c>
      <c r="E262" s="81" t="b">
        <v>0</v>
      </c>
      <c r="F262" s="81"/>
      <c r="G262" s="65">
        <v>46022</v>
      </c>
      <c r="H262" s="35">
        <v>1</v>
      </c>
      <c r="I262" s="35">
        <v>411</v>
      </c>
      <c r="J262" s="95" t="s">
        <v>548</v>
      </c>
      <c r="K262" s="81">
        <v>7036947591</v>
      </c>
      <c r="L262" s="81">
        <v>543055582</v>
      </c>
      <c r="M262" s="81">
        <v>1003807177</v>
      </c>
      <c r="N262" s="35" t="s">
        <v>73</v>
      </c>
      <c r="O262" s="35" t="s">
        <v>97</v>
      </c>
      <c r="P262" s="35">
        <v>5</v>
      </c>
      <c r="Q262" s="35">
        <v>4</v>
      </c>
      <c r="R262" s="35">
        <f t="shared" si="141"/>
        <v>20</v>
      </c>
      <c r="S262" s="43">
        <v>30000</v>
      </c>
      <c r="T262" s="44">
        <f t="shared" si="142"/>
        <v>3000</v>
      </c>
      <c r="U262" s="63">
        <f t="shared" ref="U262:U263" si="146">S262+T262</f>
        <v>33000</v>
      </c>
      <c r="V262" s="140"/>
      <c r="W262" s="140"/>
      <c r="X262" s="52">
        <v>0</v>
      </c>
      <c r="Y262" s="48">
        <f t="shared" si="129"/>
        <v>0</v>
      </c>
      <c r="Z262" s="50">
        <v>0</v>
      </c>
      <c r="AA262" s="50">
        <f t="shared" si="144"/>
        <v>0</v>
      </c>
      <c r="AB262" s="50"/>
      <c r="AC262" s="52">
        <v>34500</v>
      </c>
      <c r="AD262" s="52">
        <f>S262*1.15-AC262</f>
        <v>0</v>
      </c>
      <c r="AE262" s="53">
        <f>S262*1.15+X262-AB262-AC262</f>
        <v>0</v>
      </c>
      <c r="AF262" s="52" t="b">
        <v>0</v>
      </c>
      <c r="AG262" s="52"/>
      <c r="AH262" s="52"/>
      <c r="AI262" s="52"/>
      <c r="AJ262" s="52"/>
      <c r="AK262" s="52"/>
      <c r="AL262" s="52"/>
      <c r="AM262" s="52" t="b">
        <v>0</v>
      </c>
      <c r="AN262" s="52"/>
      <c r="AO262" s="52"/>
      <c r="AP262" s="52"/>
      <c r="AQ262" s="52"/>
      <c r="AR262" s="52"/>
      <c r="AS262" s="52" t="b">
        <v>0</v>
      </c>
      <c r="AT262" s="52"/>
      <c r="AU262" s="52"/>
      <c r="AV262" s="52"/>
      <c r="AW262" s="52"/>
      <c r="AX262" s="52" t="str">
        <f t="shared" si="131"/>
        <v>ملتزم</v>
      </c>
      <c r="AY262" s="54" t="s">
        <v>77</v>
      </c>
      <c r="AZ262" s="43" t="s">
        <v>107</v>
      </c>
      <c r="BA262" s="55"/>
      <c r="BB262" s="55"/>
      <c r="BC262" s="55"/>
      <c r="BD262" s="54"/>
      <c r="BE262" s="68">
        <v>18975</v>
      </c>
      <c r="BF262" s="54"/>
      <c r="BG262" s="54"/>
      <c r="BH262" s="54"/>
      <c r="BI262" s="54" t="s">
        <v>72</v>
      </c>
      <c r="BJ262" s="54">
        <f>(U262+V262+AE262)-BD262-BE262</f>
        <v>14025</v>
      </c>
      <c r="BK262" s="54" t="s">
        <v>382</v>
      </c>
    </row>
    <row r="263" spans="1:63" ht="34.5" hidden="1" customHeight="1" x14ac:dyDescent="0.25">
      <c r="A263" s="35">
        <f t="shared" si="133"/>
        <v>86</v>
      </c>
      <c r="B263" s="35" t="s">
        <v>549</v>
      </c>
      <c r="C263" s="111">
        <v>20947122952</v>
      </c>
      <c r="D263" s="37" t="s">
        <v>106</v>
      </c>
      <c r="E263" s="81" t="b">
        <v>0</v>
      </c>
      <c r="F263" s="81"/>
      <c r="G263" s="65">
        <v>46022</v>
      </c>
      <c r="H263" s="35">
        <v>1</v>
      </c>
      <c r="I263" s="35">
        <v>19</v>
      </c>
      <c r="J263" s="95" t="s">
        <v>550</v>
      </c>
      <c r="K263" s="87">
        <v>7027282263</v>
      </c>
      <c r="L263" s="87">
        <v>544448982</v>
      </c>
      <c r="M263" s="81">
        <v>1051516696</v>
      </c>
      <c r="N263" s="35" t="s">
        <v>64</v>
      </c>
      <c r="O263" s="42" t="s">
        <v>97</v>
      </c>
      <c r="P263" s="35">
        <v>6</v>
      </c>
      <c r="Q263" s="35">
        <v>4</v>
      </c>
      <c r="R263" s="35">
        <f t="shared" si="141"/>
        <v>24</v>
      </c>
      <c r="S263" s="43">
        <v>40000</v>
      </c>
      <c r="T263" s="44">
        <f t="shared" si="142"/>
        <v>4000</v>
      </c>
      <c r="U263" s="63">
        <f t="shared" si="146"/>
        <v>44000</v>
      </c>
      <c r="V263" s="106"/>
      <c r="W263" s="106"/>
      <c r="X263" s="52">
        <v>0</v>
      </c>
      <c r="Y263" s="48">
        <f t="shared" si="129"/>
        <v>0</v>
      </c>
      <c r="Z263" s="69">
        <v>0</v>
      </c>
      <c r="AA263" s="50">
        <f t="shared" si="144"/>
        <v>0</v>
      </c>
      <c r="AB263" s="50"/>
      <c r="AC263" s="52">
        <v>46000</v>
      </c>
      <c r="AD263" s="52">
        <f>S263*1.15-AC263</f>
        <v>0</v>
      </c>
      <c r="AE263" s="53">
        <f>S263*1.15+X263-AB263-AC263</f>
        <v>0</v>
      </c>
      <c r="AF263" s="52" t="b">
        <v>0</v>
      </c>
      <c r="AG263" s="52"/>
      <c r="AH263" s="52"/>
      <c r="AI263" s="52"/>
      <c r="AJ263" s="52"/>
      <c r="AK263" s="52"/>
      <c r="AL263" s="52"/>
      <c r="AM263" s="52" t="b">
        <v>0</v>
      </c>
      <c r="AN263" s="52"/>
      <c r="AO263" s="52"/>
      <c r="AP263" s="52"/>
      <c r="AQ263" s="52"/>
      <c r="AR263" s="52"/>
      <c r="AS263" s="52" t="b">
        <v>0</v>
      </c>
      <c r="AT263" s="52"/>
      <c r="AU263" s="52"/>
      <c r="AV263" s="52"/>
      <c r="AW263" s="52"/>
      <c r="AX263" s="52" t="str">
        <f t="shared" si="131"/>
        <v>ملتزم</v>
      </c>
      <c r="AY263" s="54" t="s">
        <v>69</v>
      </c>
      <c r="AZ263" s="43" t="s">
        <v>107</v>
      </c>
      <c r="BA263" s="55"/>
      <c r="BB263" s="55"/>
      <c r="BC263" s="55"/>
      <c r="BD263" s="54"/>
      <c r="BE263" s="68">
        <v>33810</v>
      </c>
      <c r="BF263" s="54"/>
      <c r="BG263" s="54"/>
      <c r="BH263" s="54"/>
      <c r="BI263" s="54" t="s">
        <v>72</v>
      </c>
      <c r="BJ263" s="54">
        <f>(U263+V263+AE263)-BD263-BE263</f>
        <v>10190</v>
      </c>
      <c r="BK263" s="54"/>
    </row>
    <row r="264" spans="1:63" ht="34.5" hidden="1" customHeight="1" x14ac:dyDescent="0.25">
      <c r="A264" s="35">
        <f t="shared" si="133"/>
        <v>87</v>
      </c>
      <c r="B264" s="35" t="s">
        <v>551</v>
      </c>
      <c r="C264" s="105">
        <v>20063988132</v>
      </c>
      <c r="D264" s="37" t="s">
        <v>106</v>
      </c>
      <c r="E264" s="81" t="b">
        <v>0</v>
      </c>
      <c r="F264" s="81"/>
      <c r="G264" s="113">
        <v>46022</v>
      </c>
      <c r="H264" s="35">
        <v>1</v>
      </c>
      <c r="I264" s="35">
        <v>218</v>
      </c>
      <c r="J264" s="95" t="s">
        <v>552</v>
      </c>
      <c r="K264" s="114">
        <v>7015726321</v>
      </c>
      <c r="L264" s="114">
        <v>569397590</v>
      </c>
      <c r="M264" s="81">
        <v>1133937746</v>
      </c>
      <c r="N264" s="35" t="s">
        <v>73</v>
      </c>
      <c r="O264" s="35" t="s">
        <v>97</v>
      </c>
      <c r="P264" s="35">
        <v>6.95</v>
      </c>
      <c r="Q264" s="35">
        <v>4.1500000000000004</v>
      </c>
      <c r="R264" s="35">
        <f t="shared" si="141"/>
        <v>28.842500000000005</v>
      </c>
      <c r="S264" s="44">
        <v>30000</v>
      </c>
      <c r="T264" s="44">
        <f>S264*20/100</f>
        <v>6000</v>
      </c>
      <c r="U264" s="63">
        <f>S264+T264+200</f>
        <v>36200</v>
      </c>
      <c r="V264" s="44"/>
      <c r="W264" s="44"/>
      <c r="X264" s="54">
        <v>0</v>
      </c>
      <c r="Y264" s="89">
        <f t="shared" si="129"/>
        <v>0</v>
      </c>
      <c r="Z264" s="91">
        <v>0</v>
      </c>
      <c r="AA264" s="91">
        <f t="shared" si="144"/>
        <v>0</v>
      </c>
      <c r="AB264" s="91">
        <v>0</v>
      </c>
      <c r="AC264" s="54">
        <v>34500</v>
      </c>
      <c r="AD264" s="54">
        <f>S264*1.15-AC264</f>
        <v>0</v>
      </c>
      <c r="AE264" s="53">
        <f>S264*1.15+X264-AB264-AC264</f>
        <v>0</v>
      </c>
      <c r="AF264" s="54" t="b">
        <v>0</v>
      </c>
      <c r="AG264" s="54"/>
      <c r="AH264" s="54"/>
      <c r="AI264" s="54"/>
      <c r="AJ264" s="54"/>
      <c r="AK264" s="54"/>
      <c r="AL264" s="54"/>
      <c r="AM264" s="54" t="b">
        <v>0</v>
      </c>
      <c r="AN264" s="54"/>
      <c r="AO264" s="54"/>
      <c r="AP264" s="54"/>
      <c r="AQ264" s="54"/>
      <c r="AR264" s="54"/>
      <c r="AS264" s="54" t="b">
        <v>0</v>
      </c>
      <c r="AT264" s="54"/>
      <c r="AU264" s="54"/>
      <c r="AV264" s="54"/>
      <c r="AW264" s="54"/>
      <c r="AX264" s="54" t="str">
        <f t="shared" si="131"/>
        <v>ملتزم</v>
      </c>
      <c r="AY264" s="54" t="s">
        <v>77</v>
      </c>
      <c r="AZ264" s="43" t="s">
        <v>107</v>
      </c>
      <c r="BA264" s="55"/>
      <c r="BB264" s="55"/>
      <c r="BC264" s="55"/>
      <c r="BD264" s="54"/>
      <c r="BE264" s="68">
        <v>20815</v>
      </c>
      <c r="BF264" s="54"/>
      <c r="BG264" s="54"/>
      <c r="BH264" s="54"/>
      <c r="BI264" s="54" t="s">
        <v>112</v>
      </c>
      <c r="BJ264" s="54">
        <f>(U264+V264+AE264)-BD264-BE264</f>
        <v>15385</v>
      </c>
      <c r="BK264" s="54" t="s">
        <v>113</v>
      </c>
    </row>
    <row r="265" spans="1:63" ht="34.5" hidden="1" customHeight="1" x14ac:dyDescent="0.25">
      <c r="A265" s="35">
        <f t="shared" si="133"/>
        <v>88</v>
      </c>
      <c r="B265" s="35" t="s">
        <v>553</v>
      </c>
      <c r="C265" s="35"/>
      <c r="D265" s="81" t="s">
        <v>100</v>
      </c>
      <c r="E265" s="81" t="b">
        <v>0</v>
      </c>
      <c r="F265" s="81"/>
      <c r="G265" s="65">
        <v>45657</v>
      </c>
      <c r="H265" s="35">
        <v>1</v>
      </c>
      <c r="I265" s="35">
        <v>100</v>
      </c>
      <c r="J265" s="95" t="s">
        <v>554</v>
      </c>
      <c r="K265" s="87">
        <v>7017422481</v>
      </c>
      <c r="L265" s="87">
        <v>508307429</v>
      </c>
      <c r="M265" s="81">
        <v>1156239269</v>
      </c>
      <c r="N265" s="35" t="s">
        <v>64</v>
      </c>
      <c r="O265" s="42" t="s">
        <v>65</v>
      </c>
      <c r="P265" s="35">
        <v>12.4</v>
      </c>
      <c r="Q265" s="35">
        <v>6.6</v>
      </c>
      <c r="R265" s="35">
        <f t="shared" si="141"/>
        <v>81.84</v>
      </c>
      <c r="S265" s="43">
        <v>28000</v>
      </c>
      <c r="T265" s="44"/>
      <c r="U265" s="45"/>
      <c r="V265" s="46">
        <v>36828</v>
      </c>
      <c r="W265" s="46"/>
      <c r="X265" s="132"/>
      <c r="Y265" s="89">
        <f t="shared" si="129"/>
        <v>0</v>
      </c>
      <c r="Z265" s="133">
        <v>0</v>
      </c>
      <c r="AA265" s="96">
        <f t="shared" si="144"/>
        <v>0</v>
      </c>
      <c r="AB265" s="96"/>
      <c r="AC265" s="132">
        <v>32200</v>
      </c>
      <c r="AD265" s="54">
        <f>S265*1.15-AC265</f>
        <v>0</v>
      </c>
      <c r="AE265" s="53">
        <f>S265*1.15+X265-AB265-AC265</f>
        <v>0</v>
      </c>
      <c r="AF265" s="54" t="b">
        <v>1</v>
      </c>
      <c r="AG265" s="54" t="s">
        <v>67</v>
      </c>
      <c r="AH265" s="54">
        <v>20885.53</v>
      </c>
      <c r="AI265" s="54" t="s">
        <v>68</v>
      </c>
      <c r="AJ265" s="52" t="s">
        <v>136</v>
      </c>
      <c r="AK265" s="128" t="s">
        <v>555</v>
      </c>
      <c r="AL265" s="128"/>
      <c r="AM265" s="54" t="b">
        <v>0</v>
      </c>
      <c r="AN265" s="117">
        <v>45971</v>
      </c>
      <c r="AO265" s="54">
        <v>20885.53</v>
      </c>
      <c r="AP265" s="54"/>
      <c r="AQ265" s="54"/>
      <c r="AR265" s="54"/>
      <c r="AS265" s="54" t="b">
        <v>0</v>
      </c>
      <c r="AT265" s="118"/>
      <c r="AU265" s="54"/>
      <c r="AV265" s="54"/>
      <c r="AW265" s="54"/>
      <c r="AX265" s="54" t="str">
        <f t="shared" si="131"/>
        <v>ملتزم</v>
      </c>
      <c r="AY265" s="54" t="s">
        <v>69</v>
      </c>
      <c r="AZ265" s="43" t="s">
        <v>70</v>
      </c>
      <c r="BA265" s="55" t="s">
        <v>75</v>
      </c>
      <c r="BB265" s="55"/>
      <c r="BC265" s="55"/>
      <c r="BD265" s="54"/>
      <c r="BE265" s="54"/>
      <c r="BF265" s="54"/>
      <c r="BG265" s="54"/>
      <c r="BH265" s="54"/>
      <c r="BI265" s="54" t="s">
        <v>72</v>
      </c>
      <c r="BJ265" s="54">
        <f>(U265+V265+AE265)-BD265-BE265</f>
        <v>36828</v>
      </c>
      <c r="BK265" s="54"/>
    </row>
    <row r="266" spans="1:63" ht="34.5" hidden="1" customHeight="1" x14ac:dyDescent="0.25">
      <c r="A266" s="35">
        <f t="shared" si="133"/>
        <v>89</v>
      </c>
      <c r="B266" s="35" t="s">
        <v>556</v>
      </c>
      <c r="C266" s="108"/>
      <c r="D266" s="37" t="s">
        <v>106</v>
      </c>
      <c r="E266" s="81" t="b">
        <v>0</v>
      </c>
      <c r="F266" s="81"/>
      <c r="G266" s="65">
        <v>46022</v>
      </c>
      <c r="H266" s="35">
        <v>2</v>
      </c>
      <c r="I266" s="35" t="s">
        <v>557</v>
      </c>
      <c r="J266" s="81" t="s">
        <v>558</v>
      </c>
      <c r="K266" s="81">
        <v>7017422481</v>
      </c>
      <c r="L266" s="81">
        <v>508307429</v>
      </c>
      <c r="M266" s="81">
        <v>1156239269</v>
      </c>
      <c r="N266" s="35" t="s">
        <v>64</v>
      </c>
      <c r="O266" s="42" t="s">
        <v>97</v>
      </c>
      <c r="P266" s="35">
        <v>12.2</v>
      </c>
      <c r="Q266" s="35">
        <v>3.87</v>
      </c>
      <c r="R266" s="35">
        <f t="shared" si="141"/>
        <v>47.213999999999999</v>
      </c>
      <c r="S266" s="43">
        <v>60200</v>
      </c>
      <c r="T266" s="44">
        <f>S266*20/100</f>
        <v>12040</v>
      </c>
      <c r="U266" s="63">
        <v>69230</v>
      </c>
      <c r="V266" s="106"/>
      <c r="W266" s="106"/>
      <c r="X266" s="52">
        <v>0</v>
      </c>
      <c r="Y266" s="48">
        <f t="shared" si="129"/>
        <v>0</v>
      </c>
      <c r="Z266" s="69">
        <v>0</v>
      </c>
      <c r="AA266" s="50">
        <f t="shared" si="144"/>
        <v>0</v>
      </c>
      <c r="AB266" s="50"/>
      <c r="AC266" s="52">
        <v>69230</v>
      </c>
      <c r="AD266" s="52">
        <f>S266*1.15-AC266</f>
        <v>0</v>
      </c>
      <c r="AE266" s="53">
        <f>S266*1.15+X266-AB266-AC266</f>
        <v>0</v>
      </c>
      <c r="AF266" s="52" t="b">
        <v>0</v>
      </c>
      <c r="AG266" s="52"/>
      <c r="AH266" s="52"/>
      <c r="AI266" s="52"/>
      <c r="AJ266" s="52"/>
      <c r="AK266" s="52"/>
      <c r="AL266" s="52"/>
      <c r="AM266" s="52" t="b">
        <v>0</v>
      </c>
      <c r="AN266" s="52"/>
      <c r="AO266" s="52"/>
      <c r="AP266" s="52"/>
      <c r="AQ266" s="52"/>
      <c r="AR266" s="52"/>
      <c r="AS266" s="52" t="b">
        <v>0</v>
      </c>
      <c r="AT266" s="52"/>
      <c r="AU266" s="52"/>
      <c r="AV266" s="52"/>
      <c r="AW266" s="52"/>
      <c r="AX266" s="52" t="str">
        <f t="shared" si="131"/>
        <v>ملتزم</v>
      </c>
      <c r="AY266" s="54" t="s">
        <v>77</v>
      </c>
      <c r="AZ266" s="43" t="s">
        <v>107</v>
      </c>
      <c r="BA266" s="55"/>
      <c r="BB266" s="55"/>
      <c r="BC266" s="55"/>
      <c r="BD266" s="54"/>
      <c r="BE266" s="68">
        <v>0</v>
      </c>
      <c r="BF266" s="54"/>
      <c r="BG266" s="54"/>
      <c r="BH266" s="54"/>
      <c r="BI266" s="54" t="s">
        <v>76</v>
      </c>
      <c r="BJ266" s="54">
        <f>(U266+V266+AE266)-BD266-BE266</f>
        <v>69230</v>
      </c>
      <c r="BK266" s="54"/>
    </row>
    <row r="267" spans="1:63" ht="34.5" hidden="1" customHeight="1" x14ac:dyDescent="0.25">
      <c r="A267" s="35">
        <f t="shared" si="133"/>
        <v>90</v>
      </c>
      <c r="B267" s="35" t="s">
        <v>556</v>
      </c>
      <c r="C267" s="35">
        <v>20380033630</v>
      </c>
      <c r="D267" s="37" t="s">
        <v>106</v>
      </c>
      <c r="E267" s="81" t="b">
        <v>0</v>
      </c>
      <c r="F267" s="81"/>
      <c r="G267" s="65">
        <v>46022</v>
      </c>
      <c r="H267" s="35">
        <v>2</v>
      </c>
      <c r="I267" s="125" t="s">
        <v>559</v>
      </c>
      <c r="J267" s="95" t="s">
        <v>554</v>
      </c>
      <c r="K267" s="81">
        <v>7017422481</v>
      </c>
      <c r="L267" s="81">
        <v>508307429</v>
      </c>
      <c r="M267" s="81">
        <v>1156239269</v>
      </c>
      <c r="N267" s="35" t="s">
        <v>64</v>
      </c>
      <c r="O267" s="42" t="s">
        <v>84</v>
      </c>
      <c r="P267" s="35">
        <v>12.8</v>
      </c>
      <c r="Q267" s="35">
        <v>8</v>
      </c>
      <c r="R267" s="35">
        <f t="shared" si="141"/>
        <v>102.4</v>
      </c>
      <c r="S267" s="43">
        <v>35000</v>
      </c>
      <c r="T267" s="44">
        <f t="shared" ref="T267:T274" si="147">S267*10/100</f>
        <v>3500</v>
      </c>
      <c r="U267" s="63">
        <f t="shared" ref="U267:U271" si="148">S267+T267</f>
        <v>38500</v>
      </c>
      <c r="V267" s="46">
        <v>53760</v>
      </c>
      <c r="W267" s="46"/>
      <c r="X267" s="52">
        <v>138717</v>
      </c>
      <c r="Y267" s="48">
        <f t="shared" si="129"/>
        <v>120623.47826086957</v>
      </c>
      <c r="Z267" s="69">
        <v>0</v>
      </c>
      <c r="AA267" s="50">
        <f t="shared" si="144"/>
        <v>0</v>
      </c>
      <c r="AB267" s="50">
        <v>138717</v>
      </c>
      <c r="AC267" s="52">
        <v>40250</v>
      </c>
      <c r="AD267" s="52">
        <f>S267*1.15-AC267</f>
        <v>0</v>
      </c>
      <c r="AE267" s="53">
        <f>S267*1.15+X267-AB267-AC267</f>
        <v>0</v>
      </c>
      <c r="AF267" s="52" t="b">
        <v>0</v>
      </c>
      <c r="AG267" s="52"/>
      <c r="AH267" s="52"/>
      <c r="AI267" s="52"/>
      <c r="AJ267" s="52"/>
      <c r="AK267" s="52"/>
      <c r="AL267" s="52"/>
      <c r="AM267" s="52" t="b">
        <v>0</v>
      </c>
      <c r="AN267" s="52"/>
      <c r="AO267" s="52"/>
      <c r="AP267" s="52"/>
      <c r="AQ267" s="52"/>
      <c r="AR267" s="52"/>
      <c r="AS267" s="52" t="b">
        <v>0</v>
      </c>
      <c r="AT267" s="52"/>
      <c r="AU267" s="52"/>
      <c r="AV267" s="52"/>
      <c r="AW267" s="52"/>
      <c r="AX267" s="52" t="str">
        <f t="shared" si="131"/>
        <v>ملتزم</v>
      </c>
      <c r="AY267" s="54" t="s">
        <v>102</v>
      </c>
      <c r="AZ267" s="43" t="s">
        <v>107</v>
      </c>
      <c r="BA267" s="70"/>
      <c r="BB267" s="70"/>
      <c r="BC267" s="70"/>
      <c r="BD267" s="54"/>
      <c r="BE267" s="54"/>
      <c r="BF267" s="54"/>
      <c r="BG267" s="54"/>
      <c r="BH267" s="54"/>
      <c r="BI267" s="54" t="s">
        <v>72</v>
      </c>
      <c r="BJ267" s="54">
        <f>(U267+V267+AE267)-BD267-BE267</f>
        <v>92260</v>
      </c>
      <c r="BK267" s="54"/>
    </row>
    <row r="268" spans="1:63" ht="34.5" hidden="1" customHeight="1" x14ac:dyDescent="0.25">
      <c r="A268" s="35">
        <f t="shared" si="133"/>
        <v>91</v>
      </c>
      <c r="B268" s="57" t="s">
        <v>556</v>
      </c>
      <c r="C268" s="71"/>
      <c r="D268" s="37" t="s">
        <v>106</v>
      </c>
      <c r="E268" s="81" t="b">
        <v>0</v>
      </c>
      <c r="F268" s="81"/>
      <c r="G268" s="65">
        <v>46022</v>
      </c>
      <c r="H268" s="42">
        <v>2</v>
      </c>
      <c r="I268" s="42" t="s">
        <v>560</v>
      </c>
      <c r="J268" s="147" t="s">
        <v>561</v>
      </c>
      <c r="K268" s="61">
        <v>7017422481</v>
      </c>
      <c r="L268" s="61">
        <v>508307429</v>
      </c>
      <c r="M268" s="61">
        <v>1156239269</v>
      </c>
      <c r="N268" s="35" t="s">
        <v>73</v>
      </c>
      <c r="O268" s="42" t="s">
        <v>74</v>
      </c>
      <c r="P268" s="35"/>
      <c r="Q268" s="35"/>
      <c r="R268" s="35">
        <v>237</v>
      </c>
      <c r="S268" s="62">
        <v>40000</v>
      </c>
      <c r="T268" s="44">
        <f t="shared" si="147"/>
        <v>4000</v>
      </c>
      <c r="U268" s="63">
        <f t="shared" si="148"/>
        <v>44000</v>
      </c>
      <c r="V268" s="64"/>
      <c r="W268" s="64"/>
      <c r="X268" s="52">
        <v>9150</v>
      </c>
      <c r="Y268" s="48">
        <f t="shared" si="129"/>
        <v>7956.521739130435</v>
      </c>
      <c r="Z268" s="69">
        <v>0</v>
      </c>
      <c r="AA268" s="50">
        <f t="shared" si="144"/>
        <v>0</v>
      </c>
      <c r="AB268" s="50">
        <v>9150</v>
      </c>
      <c r="AC268" s="52">
        <v>46000</v>
      </c>
      <c r="AD268" s="52">
        <f>S268*1.15-AC268</f>
        <v>0</v>
      </c>
      <c r="AE268" s="53">
        <f>S268*1.15+X268-AB268-AC268</f>
        <v>0</v>
      </c>
      <c r="AF268" s="52" t="b">
        <v>0</v>
      </c>
      <c r="AG268" s="52"/>
      <c r="AH268" s="52"/>
      <c r="AI268" s="52"/>
      <c r="AJ268" s="52"/>
      <c r="AK268" s="52"/>
      <c r="AL268" s="52"/>
      <c r="AM268" s="52" t="b">
        <v>0</v>
      </c>
      <c r="AN268" s="52"/>
      <c r="AO268" s="52"/>
      <c r="AP268" s="52"/>
      <c r="AQ268" s="52"/>
      <c r="AR268" s="52"/>
      <c r="AS268" s="52" t="b">
        <v>0</v>
      </c>
      <c r="AT268" s="52"/>
      <c r="AU268" s="52"/>
      <c r="AV268" s="52"/>
      <c r="AW268" s="52"/>
      <c r="AX268" s="52" t="str">
        <f t="shared" si="131"/>
        <v>ملتزم</v>
      </c>
      <c r="AY268" s="54" t="s">
        <v>77</v>
      </c>
      <c r="AZ268" s="43" t="s">
        <v>107</v>
      </c>
      <c r="BA268" s="55"/>
      <c r="BB268" s="55"/>
      <c r="BC268" s="55"/>
      <c r="BD268" s="54"/>
      <c r="BE268" s="68">
        <v>12650</v>
      </c>
      <c r="BF268" s="54"/>
      <c r="BG268" s="54"/>
      <c r="BH268" s="54"/>
      <c r="BI268" s="54" t="s">
        <v>72</v>
      </c>
      <c r="BJ268" s="54">
        <f>(U268+V268+AE268)-BD268-BE268</f>
        <v>31350</v>
      </c>
      <c r="BK268" s="54" t="s">
        <v>113</v>
      </c>
    </row>
    <row r="269" spans="1:63" ht="34.5" hidden="1" customHeight="1" x14ac:dyDescent="0.25">
      <c r="A269" s="35">
        <f t="shared" si="133"/>
        <v>92</v>
      </c>
      <c r="B269" s="137" t="s">
        <v>562</v>
      </c>
      <c r="C269" s="108"/>
      <c r="D269" s="37" t="s">
        <v>106</v>
      </c>
      <c r="E269" s="81" t="b">
        <v>0</v>
      </c>
      <c r="F269" s="81"/>
      <c r="G269" s="65">
        <v>46022</v>
      </c>
      <c r="H269" s="35">
        <v>2</v>
      </c>
      <c r="I269" s="35" t="s">
        <v>563</v>
      </c>
      <c r="J269" s="95" t="s">
        <v>554</v>
      </c>
      <c r="K269" s="138">
        <v>7017422481</v>
      </c>
      <c r="L269" s="81">
        <v>508307429</v>
      </c>
      <c r="M269" s="81">
        <v>1156239269</v>
      </c>
      <c r="N269" s="35" t="s">
        <v>64</v>
      </c>
      <c r="O269" s="42" t="s">
        <v>97</v>
      </c>
      <c r="P269" s="35">
        <v>9</v>
      </c>
      <c r="Q269" s="35">
        <v>5.8</v>
      </c>
      <c r="R269" s="35">
        <f t="shared" ref="R269:R274" si="149">P269*Q269</f>
        <v>52.199999999999996</v>
      </c>
      <c r="S269" s="43">
        <v>56000</v>
      </c>
      <c r="T269" s="44">
        <f t="shared" si="147"/>
        <v>5600</v>
      </c>
      <c r="U269" s="63">
        <f t="shared" si="148"/>
        <v>61600</v>
      </c>
      <c r="V269" s="106"/>
      <c r="W269" s="106"/>
      <c r="X269" s="52">
        <v>7779</v>
      </c>
      <c r="Y269" s="48">
        <f t="shared" si="129"/>
        <v>6764.347826086957</v>
      </c>
      <c r="Z269" s="69">
        <v>0</v>
      </c>
      <c r="AA269" s="50">
        <f t="shared" si="144"/>
        <v>0</v>
      </c>
      <c r="AB269" s="50">
        <v>7779</v>
      </c>
      <c r="AC269" s="52">
        <v>64400</v>
      </c>
      <c r="AD269" s="52">
        <f>S269*1.15-AC269</f>
        <v>0</v>
      </c>
      <c r="AE269" s="53">
        <f>S269*1.15+X269-AB269-AC269</f>
        <v>0</v>
      </c>
      <c r="AF269" s="52" t="b">
        <v>0</v>
      </c>
      <c r="AG269" s="52"/>
      <c r="AH269" s="52"/>
      <c r="AI269" s="52"/>
      <c r="AJ269" s="52"/>
      <c r="AK269" s="52"/>
      <c r="AL269" s="52"/>
      <c r="AM269" s="52" t="b">
        <v>0</v>
      </c>
      <c r="AN269" s="52"/>
      <c r="AO269" s="52"/>
      <c r="AP269" s="52"/>
      <c r="AQ269" s="52"/>
      <c r="AR269" s="52"/>
      <c r="AS269" s="52" t="b">
        <v>0</v>
      </c>
      <c r="AT269" s="52"/>
      <c r="AU269" s="52"/>
      <c r="AV269" s="52"/>
      <c r="AW269" s="52"/>
      <c r="AX269" s="52" t="str">
        <f t="shared" si="131"/>
        <v>ملتزم</v>
      </c>
      <c r="AY269" s="54" t="s">
        <v>192</v>
      </c>
      <c r="AZ269" s="43" t="s">
        <v>107</v>
      </c>
      <c r="BA269" s="36"/>
      <c r="BB269" s="36"/>
      <c r="BC269" s="36"/>
      <c r="BD269" s="54"/>
      <c r="BE269" s="68">
        <v>15000</v>
      </c>
      <c r="BF269" s="54"/>
      <c r="BG269" s="54"/>
      <c r="BH269" s="54"/>
      <c r="BI269" s="54" t="s">
        <v>76</v>
      </c>
      <c r="BJ269" s="54">
        <f>(U269+V269+AE269)-BD269-BE269</f>
        <v>46600</v>
      </c>
      <c r="BK269" s="54"/>
    </row>
    <row r="270" spans="1:63" ht="34.5" hidden="1" customHeight="1" x14ac:dyDescent="0.25">
      <c r="A270" s="35">
        <f t="shared" si="133"/>
        <v>93</v>
      </c>
      <c r="B270" s="35" t="s">
        <v>564</v>
      </c>
      <c r="C270" s="105">
        <v>20053815438</v>
      </c>
      <c r="D270" s="37" t="s">
        <v>106</v>
      </c>
      <c r="E270" s="81" t="b">
        <v>0</v>
      </c>
      <c r="F270" s="81"/>
      <c r="G270" s="65">
        <v>46022</v>
      </c>
      <c r="H270" s="35">
        <v>1</v>
      </c>
      <c r="I270" s="35">
        <v>319</v>
      </c>
      <c r="J270" s="95" t="s">
        <v>565</v>
      </c>
      <c r="K270" s="81">
        <v>7041252797</v>
      </c>
      <c r="L270" s="81">
        <v>542484488</v>
      </c>
      <c r="M270" s="81">
        <v>1007742495</v>
      </c>
      <c r="N270" s="35" t="s">
        <v>73</v>
      </c>
      <c r="O270" s="35" t="s">
        <v>97</v>
      </c>
      <c r="P270" s="35">
        <v>5</v>
      </c>
      <c r="Q270" s="35">
        <v>3.7</v>
      </c>
      <c r="R270" s="35">
        <f t="shared" si="149"/>
        <v>18.5</v>
      </c>
      <c r="S270" s="44">
        <v>34000</v>
      </c>
      <c r="T270" s="44">
        <f t="shared" si="147"/>
        <v>3400</v>
      </c>
      <c r="U270" s="63">
        <f t="shared" si="148"/>
        <v>37400</v>
      </c>
      <c r="V270" s="106"/>
      <c r="W270" s="106"/>
      <c r="X270" s="45">
        <v>0</v>
      </c>
      <c r="Y270" s="48">
        <f t="shared" si="129"/>
        <v>0</v>
      </c>
      <c r="Z270" s="50">
        <v>0</v>
      </c>
      <c r="AA270" s="50">
        <f t="shared" si="144"/>
        <v>0</v>
      </c>
      <c r="AB270" s="50">
        <v>0</v>
      </c>
      <c r="AC270" s="52">
        <v>39100</v>
      </c>
      <c r="AD270" s="52">
        <f>S270*1.15-AC270</f>
        <v>0</v>
      </c>
      <c r="AE270" s="53">
        <f>S270*1.15+X270-AB270-AC270</f>
        <v>0</v>
      </c>
      <c r="AF270" s="52" t="b">
        <v>0</v>
      </c>
      <c r="AG270" s="52"/>
      <c r="AH270" s="52"/>
      <c r="AI270" s="52"/>
      <c r="AJ270" s="52"/>
      <c r="AK270" s="52"/>
      <c r="AL270" s="52"/>
      <c r="AM270" s="52" t="b">
        <v>0</v>
      </c>
      <c r="AN270" s="52"/>
      <c r="AO270" s="52"/>
      <c r="AP270" s="52"/>
      <c r="AQ270" s="52"/>
      <c r="AR270" s="52"/>
      <c r="AS270" s="52" t="b">
        <v>0</v>
      </c>
      <c r="AT270" s="52"/>
      <c r="AU270" s="52"/>
      <c r="AV270" s="52"/>
      <c r="AW270" s="52"/>
      <c r="AX270" s="52" t="str">
        <f t="shared" si="131"/>
        <v>ملتزم</v>
      </c>
      <c r="AY270" s="54" t="s">
        <v>192</v>
      </c>
      <c r="AZ270" s="43" t="s">
        <v>107</v>
      </c>
      <c r="BA270" s="55"/>
      <c r="BB270" s="55"/>
      <c r="BC270" s="55"/>
      <c r="BD270" s="54"/>
      <c r="BE270" s="68">
        <v>18017</v>
      </c>
      <c r="BF270" s="54"/>
      <c r="BG270" s="54"/>
      <c r="BH270" s="54"/>
      <c r="BI270" s="54" t="s">
        <v>112</v>
      </c>
      <c r="BJ270" s="54">
        <f>(U270+V270+AE270)-BD270-BE270</f>
        <v>19383</v>
      </c>
      <c r="BK270" s="54" t="s">
        <v>566</v>
      </c>
    </row>
    <row r="271" spans="1:63" ht="34.5" hidden="1" customHeight="1" x14ac:dyDescent="0.25">
      <c r="A271" s="35">
        <f t="shared" si="133"/>
        <v>94</v>
      </c>
      <c r="B271" s="57" t="s">
        <v>567</v>
      </c>
      <c r="C271" s="72">
        <v>20847623323</v>
      </c>
      <c r="D271" s="37" t="s">
        <v>106</v>
      </c>
      <c r="E271" s="81" t="b">
        <v>0</v>
      </c>
      <c r="F271" s="81"/>
      <c r="G271" s="65">
        <v>46022</v>
      </c>
      <c r="H271" s="42">
        <v>1</v>
      </c>
      <c r="I271" s="42">
        <v>73</v>
      </c>
      <c r="J271" s="59" t="s">
        <v>357</v>
      </c>
      <c r="K271" s="61">
        <v>7034365671</v>
      </c>
      <c r="L271" s="61">
        <v>506649896</v>
      </c>
      <c r="M271" s="61">
        <v>1089007692</v>
      </c>
      <c r="N271" s="35" t="s">
        <v>73</v>
      </c>
      <c r="O271" s="42" t="s">
        <v>74</v>
      </c>
      <c r="P271" s="35">
        <v>10</v>
      </c>
      <c r="Q271" s="35">
        <v>8.1999999999999993</v>
      </c>
      <c r="R271" s="35">
        <f t="shared" si="149"/>
        <v>82</v>
      </c>
      <c r="S271" s="62">
        <v>27000</v>
      </c>
      <c r="T271" s="44">
        <f t="shared" si="147"/>
        <v>2700</v>
      </c>
      <c r="U271" s="63">
        <f t="shared" si="148"/>
        <v>29700</v>
      </c>
      <c r="V271" s="64"/>
      <c r="W271" s="64"/>
      <c r="X271" s="52">
        <v>13972.5</v>
      </c>
      <c r="Y271" s="48">
        <f t="shared" si="129"/>
        <v>12150.000000000002</v>
      </c>
      <c r="Z271" s="69">
        <v>0</v>
      </c>
      <c r="AA271" s="50">
        <f t="shared" si="144"/>
        <v>0</v>
      </c>
      <c r="AB271" s="50"/>
      <c r="AC271" s="52">
        <v>0</v>
      </c>
      <c r="AD271" s="52">
        <f>S271*1.15-AC271</f>
        <v>31049.999999999996</v>
      </c>
      <c r="AE271" s="53">
        <f>S271*1.15+X271-AB271-AC271</f>
        <v>45022.5</v>
      </c>
      <c r="AF271" s="52" t="b">
        <v>0</v>
      </c>
      <c r="AG271" s="52"/>
      <c r="AH271" s="52"/>
      <c r="AI271" s="52"/>
      <c r="AJ271" s="52"/>
      <c r="AK271" s="52"/>
      <c r="AL271" s="52"/>
      <c r="AM271" s="52" t="b">
        <v>0</v>
      </c>
      <c r="AN271" s="52"/>
      <c r="AO271" s="52"/>
      <c r="AP271" s="52"/>
      <c r="AQ271" s="52"/>
      <c r="AR271" s="52"/>
      <c r="AS271" s="52" t="b">
        <v>0</v>
      </c>
      <c r="AT271" s="52"/>
      <c r="AU271" s="52"/>
      <c r="AV271" s="52"/>
      <c r="AW271" s="52"/>
      <c r="AX271" s="52" t="str">
        <f t="shared" si="131"/>
        <v>غير ملتزم</v>
      </c>
      <c r="AY271" s="54" t="s">
        <v>77</v>
      </c>
      <c r="AZ271" s="43" t="s">
        <v>107</v>
      </c>
      <c r="BA271" s="55"/>
      <c r="BB271" s="55"/>
      <c r="BC271" s="55"/>
      <c r="BD271" s="54"/>
      <c r="BE271" s="68">
        <v>0</v>
      </c>
      <c r="BF271" s="54"/>
      <c r="BG271" s="54"/>
      <c r="BH271" s="54"/>
      <c r="BI271" s="54" t="s">
        <v>76</v>
      </c>
      <c r="BJ271" s="54">
        <f>(U271+V271+AE271)-BD271-BE271</f>
        <v>74722.5</v>
      </c>
      <c r="BK271" s="54"/>
    </row>
    <row r="272" spans="1:63" ht="34.5" hidden="1" customHeight="1" x14ac:dyDescent="0.25">
      <c r="A272" s="35">
        <f t="shared" si="133"/>
        <v>95</v>
      </c>
      <c r="B272" s="35" t="s">
        <v>568</v>
      </c>
      <c r="C272" s="105">
        <v>20536026817</v>
      </c>
      <c r="D272" s="37" t="s">
        <v>106</v>
      </c>
      <c r="E272" s="81" t="b">
        <v>0</v>
      </c>
      <c r="F272" s="81"/>
      <c r="G272" s="113">
        <v>46022</v>
      </c>
      <c r="H272" s="35">
        <v>3</v>
      </c>
      <c r="I272" s="35" t="s">
        <v>569</v>
      </c>
      <c r="J272" s="95" t="s">
        <v>570</v>
      </c>
      <c r="K272" s="81">
        <v>7038925876</v>
      </c>
      <c r="L272" s="81">
        <v>567641969</v>
      </c>
      <c r="M272" s="81">
        <v>1160322861</v>
      </c>
      <c r="N272" s="35" t="s">
        <v>73</v>
      </c>
      <c r="O272" s="35" t="s">
        <v>97</v>
      </c>
      <c r="P272" s="35">
        <v>15</v>
      </c>
      <c r="Q272" s="35">
        <v>5</v>
      </c>
      <c r="R272" s="35">
        <f t="shared" si="149"/>
        <v>75</v>
      </c>
      <c r="S272" s="44">
        <v>94000</v>
      </c>
      <c r="T272" s="44">
        <f t="shared" si="147"/>
        <v>9400</v>
      </c>
      <c r="U272" s="63">
        <f>S272+T272+200</f>
        <v>103600</v>
      </c>
      <c r="V272" s="44"/>
      <c r="W272" s="44"/>
      <c r="X272" s="54">
        <v>0</v>
      </c>
      <c r="Y272" s="89">
        <f t="shared" si="129"/>
        <v>0</v>
      </c>
      <c r="Z272" s="91">
        <v>0</v>
      </c>
      <c r="AA272" s="91">
        <f t="shared" si="144"/>
        <v>0</v>
      </c>
      <c r="AB272" s="91"/>
      <c r="AC272" s="54">
        <v>108100</v>
      </c>
      <c r="AD272" s="54">
        <f>S272*1.15-AC272</f>
        <v>0</v>
      </c>
      <c r="AE272" s="53">
        <f>S272*1.15+X272-AB272-AC272</f>
        <v>0</v>
      </c>
      <c r="AF272" s="52" t="b">
        <v>0</v>
      </c>
      <c r="AG272" s="52"/>
      <c r="AH272" s="52"/>
      <c r="AI272" s="52"/>
      <c r="AJ272" s="52"/>
      <c r="AK272" s="52"/>
      <c r="AL272" s="52"/>
      <c r="AM272" s="52" t="b">
        <v>0</v>
      </c>
      <c r="AN272" s="52"/>
      <c r="AO272" s="52"/>
      <c r="AP272" s="52"/>
      <c r="AQ272" s="52"/>
      <c r="AR272" s="52"/>
      <c r="AS272" s="52" t="b">
        <v>0</v>
      </c>
      <c r="AT272" s="54"/>
      <c r="AU272" s="54"/>
      <c r="AV272" s="54"/>
      <c r="AW272" s="54"/>
      <c r="AX272" s="54" t="str">
        <f t="shared" si="131"/>
        <v>ملتزم</v>
      </c>
      <c r="AY272" s="54" t="s">
        <v>77</v>
      </c>
      <c r="AZ272" s="43" t="s">
        <v>107</v>
      </c>
      <c r="BA272" s="55"/>
      <c r="BB272" s="55"/>
      <c r="BC272" s="55"/>
      <c r="BD272" s="54"/>
      <c r="BE272" s="68">
        <v>52227</v>
      </c>
      <c r="BF272" s="54"/>
      <c r="BG272" s="54"/>
      <c r="BH272" s="54"/>
      <c r="BI272" s="54" t="s">
        <v>76</v>
      </c>
      <c r="BJ272" s="54">
        <f>(U272+V272+AE272)-BD272-BE272</f>
        <v>51373</v>
      </c>
      <c r="BK272" s="54" t="s">
        <v>113</v>
      </c>
    </row>
    <row r="273" spans="1:63" ht="34.5" hidden="1" customHeight="1" x14ac:dyDescent="0.25">
      <c r="A273" s="35">
        <f t="shared" si="133"/>
        <v>96</v>
      </c>
      <c r="B273" s="35" t="s">
        <v>571</v>
      </c>
      <c r="C273" s="105">
        <v>20720198687</v>
      </c>
      <c r="D273" s="37" t="s">
        <v>106</v>
      </c>
      <c r="E273" s="81" t="b">
        <v>0</v>
      </c>
      <c r="F273" s="81"/>
      <c r="G273" s="65">
        <v>46022</v>
      </c>
      <c r="H273" s="35">
        <v>2</v>
      </c>
      <c r="I273" s="35" t="s">
        <v>572</v>
      </c>
      <c r="J273" s="84" t="s">
        <v>257</v>
      </c>
      <c r="K273" s="81"/>
      <c r="L273" s="81"/>
      <c r="M273" s="81">
        <v>1096050701</v>
      </c>
      <c r="N273" s="35" t="s">
        <v>73</v>
      </c>
      <c r="O273" s="35" t="s">
        <v>97</v>
      </c>
      <c r="P273" s="35">
        <v>10.65</v>
      </c>
      <c r="Q273" s="35">
        <v>4.6500000000000004</v>
      </c>
      <c r="R273" s="35">
        <f t="shared" si="149"/>
        <v>49.522500000000008</v>
      </c>
      <c r="S273" s="43">
        <v>60000</v>
      </c>
      <c r="T273" s="44">
        <f t="shared" si="147"/>
        <v>6000</v>
      </c>
      <c r="U273" s="63">
        <f t="shared" ref="U273:U274" si="150">S273+T273</f>
        <v>66000</v>
      </c>
      <c r="V273" s="140"/>
      <c r="W273" s="140"/>
      <c r="X273" s="52"/>
      <c r="Y273" s="48">
        <f t="shared" si="129"/>
        <v>0</v>
      </c>
      <c r="Z273" s="50">
        <v>0</v>
      </c>
      <c r="AA273" s="50">
        <f t="shared" si="144"/>
        <v>0</v>
      </c>
      <c r="AB273" s="50">
        <v>0</v>
      </c>
      <c r="AC273" s="52">
        <v>69000</v>
      </c>
      <c r="AD273" s="52">
        <f>S273*1.15-AC273</f>
        <v>0</v>
      </c>
      <c r="AE273" s="53">
        <f>S273*1.15+X273-AB273-AC273</f>
        <v>0</v>
      </c>
      <c r="AF273" s="52" t="b">
        <v>0</v>
      </c>
      <c r="AG273" s="52"/>
      <c r="AH273" s="52"/>
      <c r="AI273" s="52"/>
      <c r="AJ273" s="52"/>
      <c r="AK273" s="52"/>
      <c r="AL273" s="52"/>
      <c r="AM273" s="52" t="b">
        <v>0</v>
      </c>
      <c r="AN273" s="52"/>
      <c r="AO273" s="52"/>
      <c r="AP273" s="52"/>
      <c r="AQ273" s="52"/>
      <c r="AR273" s="52"/>
      <c r="AS273" s="52" t="b">
        <v>0</v>
      </c>
      <c r="AT273" s="52"/>
      <c r="AU273" s="52"/>
      <c r="AV273" s="52"/>
      <c r="AW273" s="52"/>
      <c r="AX273" s="52" t="str">
        <f t="shared" si="131"/>
        <v>ملتزم</v>
      </c>
      <c r="AY273" s="54" t="s">
        <v>77</v>
      </c>
      <c r="AZ273" s="43" t="s">
        <v>107</v>
      </c>
      <c r="BA273" s="55"/>
      <c r="BB273" s="55"/>
      <c r="BC273" s="55"/>
      <c r="BD273" s="54"/>
      <c r="BE273" s="68">
        <v>44211</v>
      </c>
      <c r="BF273" s="54"/>
      <c r="BG273" s="54"/>
      <c r="BH273" s="54"/>
      <c r="BI273" s="54" t="s">
        <v>112</v>
      </c>
      <c r="BJ273" s="54">
        <f>(U273+V273+AE273)-BD273-BE273</f>
        <v>21789</v>
      </c>
      <c r="BK273" s="54" t="s">
        <v>382</v>
      </c>
    </row>
    <row r="274" spans="1:63" ht="34.5" hidden="1" customHeight="1" x14ac:dyDescent="0.25">
      <c r="A274" s="35">
        <f t="shared" si="133"/>
        <v>97</v>
      </c>
      <c r="B274" s="35" t="s">
        <v>573</v>
      </c>
      <c r="C274" s="105">
        <v>20055528529</v>
      </c>
      <c r="D274" s="37" t="s">
        <v>106</v>
      </c>
      <c r="E274" s="37" t="b">
        <v>0</v>
      </c>
      <c r="F274" s="37"/>
      <c r="G274" s="65">
        <v>46022</v>
      </c>
      <c r="H274" s="35">
        <v>1</v>
      </c>
      <c r="I274" s="35">
        <v>342</v>
      </c>
      <c r="J274" s="95" t="s">
        <v>220</v>
      </c>
      <c r="K274" s="81">
        <v>7012006211</v>
      </c>
      <c r="L274" s="81">
        <v>500142648</v>
      </c>
      <c r="M274" s="81">
        <v>1107943241</v>
      </c>
      <c r="N274" s="35" t="s">
        <v>73</v>
      </c>
      <c r="O274" s="35" t="s">
        <v>97</v>
      </c>
      <c r="P274" s="35">
        <v>5</v>
      </c>
      <c r="Q274" s="35">
        <v>4</v>
      </c>
      <c r="R274" s="35">
        <f t="shared" si="149"/>
        <v>20</v>
      </c>
      <c r="S274" s="44">
        <v>34000</v>
      </c>
      <c r="T274" s="44">
        <f t="shared" si="147"/>
        <v>3400</v>
      </c>
      <c r="U274" s="63">
        <f t="shared" si="150"/>
        <v>37400</v>
      </c>
      <c r="V274" s="106"/>
      <c r="W274" s="106"/>
      <c r="X274" s="52">
        <v>0</v>
      </c>
      <c r="Y274" s="48">
        <f t="shared" si="129"/>
        <v>0</v>
      </c>
      <c r="Z274" s="50">
        <v>0</v>
      </c>
      <c r="AA274" s="50">
        <f t="shared" si="144"/>
        <v>0</v>
      </c>
      <c r="AB274" s="50">
        <v>0</v>
      </c>
      <c r="AC274" s="52">
        <v>39100</v>
      </c>
      <c r="AD274" s="52">
        <f>S274*1.15-AC274</f>
        <v>0</v>
      </c>
      <c r="AE274" s="53">
        <f>S274*1.15+X274-AB274-AC274</f>
        <v>0</v>
      </c>
      <c r="AF274" s="52" t="b">
        <v>0</v>
      </c>
      <c r="AG274" s="52"/>
      <c r="AH274" s="52"/>
      <c r="AI274" s="52"/>
      <c r="AJ274" s="52"/>
      <c r="AK274" s="52"/>
      <c r="AL274" s="52"/>
      <c r="AM274" s="52" t="b">
        <v>0</v>
      </c>
      <c r="AN274" s="52"/>
      <c r="AO274" s="52"/>
      <c r="AP274" s="52"/>
      <c r="AQ274" s="52"/>
      <c r="AR274" s="52"/>
      <c r="AS274" s="52" t="b">
        <v>0</v>
      </c>
      <c r="AT274" s="52"/>
      <c r="AU274" s="52"/>
      <c r="AV274" s="52"/>
      <c r="AW274" s="52"/>
      <c r="AX274" s="52" t="str">
        <f t="shared" si="131"/>
        <v>ملتزم</v>
      </c>
      <c r="AY274" s="54" t="s">
        <v>77</v>
      </c>
      <c r="AZ274" s="43" t="s">
        <v>107</v>
      </c>
      <c r="BA274" s="55"/>
      <c r="BB274" s="55"/>
      <c r="BC274" s="55"/>
      <c r="BD274" s="54"/>
      <c r="BE274" s="68">
        <v>32373</v>
      </c>
      <c r="BF274" s="54"/>
      <c r="BG274" s="54"/>
      <c r="BH274" s="54"/>
      <c r="BI274" s="54" t="s">
        <v>76</v>
      </c>
      <c r="BJ274" s="54">
        <f>(U274+V274+AE274)-BD274-BE274</f>
        <v>5027</v>
      </c>
      <c r="BK274" s="54" t="s">
        <v>113</v>
      </c>
    </row>
    <row r="275" spans="1:63" ht="34.5" hidden="1" customHeight="1" x14ac:dyDescent="0.25">
      <c r="A275" s="35">
        <f t="shared" si="133"/>
        <v>98</v>
      </c>
      <c r="B275" s="57" t="s">
        <v>574</v>
      </c>
      <c r="C275" s="57"/>
      <c r="D275" s="37" t="s">
        <v>106</v>
      </c>
      <c r="E275" s="81" t="b">
        <v>0</v>
      </c>
      <c r="F275" s="81"/>
      <c r="G275" s="65">
        <v>46022</v>
      </c>
      <c r="H275" s="42">
        <v>1</v>
      </c>
      <c r="I275" s="42" t="s">
        <v>575</v>
      </c>
      <c r="J275" s="97" t="s">
        <v>576</v>
      </c>
      <c r="K275" s="98">
        <v>7007176253</v>
      </c>
      <c r="L275" s="98">
        <v>530005971</v>
      </c>
      <c r="M275" s="98">
        <v>1064253162</v>
      </c>
      <c r="N275" s="35" t="s">
        <v>73</v>
      </c>
      <c r="O275" s="42"/>
      <c r="P275" s="35"/>
      <c r="Q275" s="35"/>
      <c r="R275" s="35">
        <v>74</v>
      </c>
      <c r="S275" s="62">
        <v>45000</v>
      </c>
      <c r="T275" s="44">
        <v>4500</v>
      </c>
      <c r="U275" s="63">
        <v>49500</v>
      </c>
      <c r="V275" s="99"/>
      <c r="W275" s="99"/>
      <c r="X275" s="51"/>
      <c r="Y275" s="48"/>
      <c r="Z275" s="49"/>
      <c r="AA275" s="50"/>
      <c r="AB275" s="50"/>
      <c r="AC275" s="51">
        <v>49500</v>
      </c>
      <c r="AD275" s="52"/>
      <c r="AE275" s="52"/>
      <c r="AF275" s="52" t="b">
        <v>0</v>
      </c>
      <c r="AG275" s="52"/>
      <c r="AH275" s="52"/>
      <c r="AI275" s="52"/>
      <c r="AJ275" s="52"/>
      <c r="AK275" s="52"/>
      <c r="AL275" s="52"/>
      <c r="AM275" s="52" t="b">
        <v>0</v>
      </c>
      <c r="AN275" s="52"/>
      <c r="AO275" s="52"/>
      <c r="AP275" s="52"/>
      <c r="AQ275" s="52"/>
      <c r="AR275" s="52"/>
      <c r="AS275" s="52" t="b">
        <v>0</v>
      </c>
      <c r="AT275" s="52"/>
      <c r="AU275" s="52"/>
      <c r="AV275" s="52"/>
      <c r="AW275" s="52"/>
      <c r="AX275" s="52"/>
      <c r="AY275" s="54"/>
      <c r="AZ275" s="43" t="s">
        <v>107</v>
      </c>
      <c r="BA275" s="55"/>
      <c r="BB275" s="55"/>
      <c r="BC275" s="55"/>
      <c r="BD275" s="54"/>
      <c r="BE275" s="68">
        <v>28577</v>
      </c>
      <c r="BF275" s="54"/>
      <c r="BG275" s="54"/>
      <c r="BH275" s="54"/>
      <c r="BI275" s="54"/>
      <c r="BJ275" s="54"/>
      <c r="BK275" s="54"/>
    </row>
    <row r="276" spans="1:63" ht="34.5" hidden="1" customHeight="1" x14ac:dyDescent="0.25">
      <c r="A276" s="35">
        <f t="shared" si="133"/>
        <v>99</v>
      </c>
      <c r="B276" s="35" t="s">
        <v>577</v>
      </c>
      <c r="C276" s="105">
        <v>20993399950</v>
      </c>
      <c r="D276" s="37" t="s">
        <v>106</v>
      </c>
      <c r="E276" s="81" t="b">
        <v>0</v>
      </c>
      <c r="F276" s="81"/>
      <c r="G276" s="113">
        <v>46022</v>
      </c>
      <c r="H276" s="35">
        <v>1</v>
      </c>
      <c r="I276" s="35">
        <v>254</v>
      </c>
      <c r="J276" s="84" t="s">
        <v>578</v>
      </c>
      <c r="K276" s="81">
        <v>7014749324</v>
      </c>
      <c r="L276" s="81">
        <v>503315884</v>
      </c>
      <c r="M276" s="81">
        <v>1079120109</v>
      </c>
      <c r="N276" s="35" t="s">
        <v>73</v>
      </c>
      <c r="O276" s="35" t="s">
        <v>97</v>
      </c>
      <c r="P276" s="35">
        <v>4</v>
      </c>
      <c r="Q276" s="35">
        <v>4</v>
      </c>
      <c r="R276" s="35">
        <f t="shared" ref="R276:R337" si="151">P276*Q276</f>
        <v>16</v>
      </c>
      <c r="S276" s="44">
        <v>30000</v>
      </c>
      <c r="T276" s="44">
        <f>S276*10/100</f>
        <v>3000</v>
      </c>
      <c r="U276" s="63">
        <f t="shared" ref="U276:U277" si="152">S276+T276+200</f>
        <v>33200</v>
      </c>
      <c r="V276" s="44"/>
      <c r="W276" s="44"/>
      <c r="X276" s="54">
        <v>0</v>
      </c>
      <c r="Y276" s="89">
        <f t="shared" ref="Y276:Y363" si="153">X276/1.15</f>
        <v>0</v>
      </c>
      <c r="Z276" s="91">
        <v>0</v>
      </c>
      <c r="AA276" s="91">
        <f t="shared" ref="AA276:AA301" si="154">Z276/1.15</f>
        <v>0</v>
      </c>
      <c r="AB276" s="91"/>
      <c r="AC276" s="54">
        <v>34500</v>
      </c>
      <c r="AD276" s="54">
        <f>S276*1.15-AC276</f>
        <v>0</v>
      </c>
      <c r="AE276" s="53">
        <f>S276*1.15+X276-AB276-AC276</f>
        <v>0</v>
      </c>
      <c r="AF276" s="52" t="b">
        <v>0</v>
      </c>
      <c r="AG276" s="52"/>
      <c r="AH276" s="52"/>
      <c r="AI276" s="52"/>
      <c r="AJ276" s="52"/>
      <c r="AK276" s="52"/>
      <c r="AL276" s="52"/>
      <c r="AM276" s="52" t="b">
        <v>0</v>
      </c>
      <c r="AN276" s="52"/>
      <c r="AO276" s="52"/>
      <c r="AP276" s="52"/>
      <c r="AQ276" s="52"/>
      <c r="AR276" s="52"/>
      <c r="AS276" s="52" t="b">
        <v>0</v>
      </c>
      <c r="AT276" s="54"/>
      <c r="AU276" s="54"/>
      <c r="AV276" s="54"/>
      <c r="AW276" s="54"/>
      <c r="AX276" s="54" t="str">
        <f t="shared" ref="AX276:AX362" si="155">IF(AE276&lt;=0,"ملتزم","غير ملتزم")</f>
        <v>ملتزم</v>
      </c>
      <c r="AY276" s="54" t="s">
        <v>69</v>
      </c>
      <c r="AZ276" s="43" t="s">
        <v>107</v>
      </c>
      <c r="BA276" s="55"/>
      <c r="BB276" s="55"/>
      <c r="BC276" s="55"/>
      <c r="BD276" s="54"/>
      <c r="BE276" s="68">
        <v>19090</v>
      </c>
      <c r="BF276" s="54"/>
      <c r="BG276" s="54"/>
      <c r="BH276" s="54"/>
      <c r="BI276" s="54" t="s">
        <v>112</v>
      </c>
      <c r="BJ276" s="54">
        <f>(U276+V276+AE276)-BD276-BE276</f>
        <v>14110</v>
      </c>
      <c r="BK276" s="54" t="s">
        <v>205</v>
      </c>
    </row>
    <row r="277" spans="1:63" ht="34.5" hidden="1" customHeight="1" x14ac:dyDescent="0.25">
      <c r="A277" s="35">
        <f t="shared" si="133"/>
        <v>100</v>
      </c>
      <c r="B277" s="35" t="s">
        <v>579</v>
      </c>
      <c r="C277" s="105">
        <v>20928893384</v>
      </c>
      <c r="D277" s="37" t="s">
        <v>106</v>
      </c>
      <c r="E277" s="81" t="b">
        <v>0</v>
      </c>
      <c r="F277" s="81"/>
      <c r="G277" s="113">
        <v>46022</v>
      </c>
      <c r="H277" s="35">
        <v>3</v>
      </c>
      <c r="I277" s="35" t="s">
        <v>580</v>
      </c>
      <c r="J277" s="95" t="s">
        <v>581</v>
      </c>
      <c r="K277" s="114">
        <v>7009685376</v>
      </c>
      <c r="L277" s="114">
        <v>538246927</v>
      </c>
      <c r="M277" s="81">
        <v>1093163259</v>
      </c>
      <c r="N277" s="35" t="s">
        <v>73</v>
      </c>
      <c r="O277" s="35" t="s">
        <v>97</v>
      </c>
      <c r="P277" s="35">
        <v>13</v>
      </c>
      <c r="Q277" s="35">
        <v>7.7</v>
      </c>
      <c r="R277" s="35">
        <f t="shared" si="151"/>
        <v>100.10000000000001</v>
      </c>
      <c r="S277" s="44">
        <v>98000</v>
      </c>
      <c r="T277" s="44">
        <f>S277*20/100</f>
        <v>19600</v>
      </c>
      <c r="U277" s="63">
        <f t="shared" si="152"/>
        <v>117800</v>
      </c>
      <c r="V277" s="44"/>
      <c r="W277" s="44"/>
      <c r="X277" s="54">
        <v>0</v>
      </c>
      <c r="Y277" s="89">
        <f t="shared" si="153"/>
        <v>0</v>
      </c>
      <c r="Z277" s="91">
        <v>0</v>
      </c>
      <c r="AA277" s="91">
        <f t="shared" si="154"/>
        <v>0</v>
      </c>
      <c r="AB277" s="91"/>
      <c r="AC277" s="54">
        <v>112700</v>
      </c>
      <c r="AD277" s="54">
        <f>S277*1.15-AC277</f>
        <v>0</v>
      </c>
      <c r="AE277" s="53">
        <f>S277*1.15+X277-AB277-AC277</f>
        <v>0</v>
      </c>
      <c r="AF277" s="54" t="b">
        <v>1</v>
      </c>
      <c r="AG277" s="134">
        <v>45667</v>
      </c>
      <c r="AH277" s="54">
        <v>70610</v>
      </c>
      <c r="AI277" s="54" t="s">
        <v>68</v>
      </c>
      <c r="AJ277" s="52" t="s">
        <v>136</v>
      </c>
      <c r="AK277" s="128" t="s">
        <v>582</v>
      </c>
      <c r="AL277" s="128"/>
      <c r="AM277" s="54" t="b">
        <v>0</v>
      </c>
      <c r="AN277" s="117">
        <v>45971</v>
      </c>
      <c r="AO277" s="54">
        <v>70610</v>
      </c>
      <c r="AP277" s="54"/>
      <c r="AQ277" s="54"/>
      <c r="AR277" s="54"/>
      <c r="AS277" s="54" t="b">
        <v>0</v>
      </c>
      <c r="AT277" s="118"/>
      <c r="AU277" s="54"/>
      <c r="AV277" s="54"/>
      <c r="AW277" s="54"/>
      <c r="AX277" s="54" t="str">
        <f t="shared" si="155"/>
        <v>ملتزم</v>
      </c>
      <c r="AY277" s="54" t="s">
        <v>77</v>
      </c>
      <c r="AZ277" s="43" t="s">
        <v>107</v>
      </c>
      <c r="BA277" s="55"/>
      <c r="BB277" s="55"/>
      <c r="BC277" s="55"/>
      <c r="BD277" s="54"/>
      <c r="BE277" s="68">
        <v>57500</v>
      </c>
      <c r="BF277" s="54"/>
      <c r="BG277" s="54"/>
      <c r="BH277" s="54"/>
      <c r="BI277" s="54" t="s">
        <v>76</v>
      </c>
      <c r="BJ277" s="54">
        <f>(U277+V277+AE277)-BD277-BE277</f>
        <v>60300</v>
      </c>
      <c r="BK277" s="54" t="s">
        <v>583</v>
      </c>
    </row>
    <row r="278" spans="1:63" ht="34.5" hidden="1" customHeight="1" x14ac:dyDescent="0.25">
      <c r="A278" s="35">
        <f t="shared" si="133"/>
        <v>101</v>
      </c>
      <c r="B278" s="35" t="s">
        <v>584</v>
      </c>
      <c r="C278" s="111">
        <v>20575899116</v>
      </c>
      <c r="D278" s="37" t="s">
        <v>106</v>
      </c>
      <c r="E278" s="81" t="b">
        <v>0</v>
      </c>
      <c r="F278" s="81"/>
      <c r="G278" s="65">
        <v>46022</v>
      </c>
      <c r="H278" s="35">
        <v>1</v>
      </c>
      <c r="I278" s="35">
        <v>27</v>
      </c>
      <c r="J278" s="95" t="s">
        <v>585</v>
      </c>
      <c r="K278" s="81"/>
      <c r="L278" s="81"/>
      <c r="M278" s="81">
        <v>1016197863</v>
      </c>
      <c r="N278" s="35" t="s">
        <v>64</v>
      </c>
      <c r="O278" s="42" t="s">
        <v>97</v>
      </c>
      <c r="P278" s="35">
        <v>6.5</v>
      </c>
      <c r="Q278" s="35">
        <v>2.8</v>
      </c>
      <c r="R278" s="35">
        <f t="shared" si="151"/>
        <v>18.2</v>
      </c>
      <c r="S278" s="43">
        <v>31000</v>
      </c>
      <c r="T278" s="44">
        <f>S278*10/100</f>
        <v>3100</v>
      </c>
      <c r="U278" s="63">
        <f t="shared" ref="U278:U279" si="156">S278+T278</f>
        <v>34100</v>
      </c>
      <c r="V278" s="106"/>
      <c r="W278" s="106"/>
      <c r="X278" s="52">
        <v>0</v>
      </c>
      <c r="Y278" s="48">
        <f t="shared" si="153"/>
        <v>0</v>
      </c>
      <c r="Z278" s="69">
        <v>0</v>
      </c>
      <c r="AA278" s="50">
        <f t="shared" si="154"/>
        <v>0</v>
      </c>
      <c r="AB278" s="50"/>
      <c r="AC278" s="52">
        <v>35650</v>
      </c>
      <c r="AD278" s="52">
        <f>S278*1.15-AC278</f>
        <v>0</v>
      </c>
      <c r="AE278" s="52">
        <f>S278*1.15+X278-AB278-AC278</f>
        <v>0</v>
      </c>
      <c r="AF278" s="52" t="b">
        <v>0</v>
      </c>
      <c r="AG278" s="52"/>
      <c r="AH278" s="52"/>
      <c r="AI278" s="52"/>
      <c r="AJ278" s="52"/>
      <c r="AK278" s="52"/>
      <c r="AL278" s="52"/>
      <c r="AM278" s="52" t="b">
        <v>0</v>
      </c>
      <c r="AN278" s="52"/>
      <c r="AO278" s="52"/>
      <c r="AP278" s="52"/>
      <c r="AQ278" s="52"/>
      <c r="AR278" s="52"/>
      <c r="AS278" s="52" t="b">
        <v>0</v>
      </c>
      <c r="AT278" s="52"/>
      <c r="AU278" s="52"/>
      <c r="AV278" s="52"/>
      <c r="AW278" s="52"/>
      <c r="AX278" s="52" t="str">
        <f t="shared" si="155"/>
        <v>ملتزم</v>
      </c>
      <c r="AY278" s="54" t="s">
        <v>69</v>
      </c>
      <c r="AZ278" s="43" t="s">
        <v>107</v>
      </c>
      <c r="BA278" s="55"/>
      <c r="BB278" s="55"/>
      <c r="BC278" s="55"/>
      <c r="BD278" s="54"/>
      <c r="BE278" s="68">
        <v>39445</v>
      </c>
      <c r="BF278" s="54"/>
      <c r="BG278" s="54"/>
      <c r="BH278" s="54"/>
      <c r="BI278" s="54" t="s">
        <v>112</v>
      </c>
      <c r="BJ278" s="54">
        <f>(U278+V278+AE278)-BD278-BE278</f>
        <v>-5345</v>
      </c>
      <c r="BK278" s="54" t="s">
        <v>586</v>
      </c>
    </row>
    <row r="279" spans="1:63" ht="34.5" hidden="1" customHeight="1" x14ac:dyDescent="0.25">
      <c r="A279" s="35">
        <f t="shared" si="133"/>
        <v>102</v>
      </c>
      <c r="B279" s="35" t="s">
        <v>584</v>
      </c>
      <c r="C279" s="111">
        <v>20941553565</v>
      </c>
      <c r="D279" s="37" t="s">
        <v>106</v>
      </c>
      <c r="E279" s="81" t="b">
        <v>0</v>
      </c>
      <c r="F279" s="81"/>
      <c r="G279" s="65">
        <v>46022</v>
      </c>
      <c r="H279" s="35">
        <v>2</v>
      </c>
      <c r="I279" s="35" t="s">
        <v>587</v>
      </c>
      <c r="J279" s="95" t="s">
        <v>585</v>
      </c>
      <c r="K279" s="81"/>
      <c r="L279" s="81"/>
      <c r="M279" s="81">
        <v>1016197863</v>
      </c>
      <c r="N279" s="35" t="s">
        <v>64</v>
      </c>
      <c r="O279" s="42" t="s">
        <v>97</v>
      </c>
      <c r="P279" s="35">
        <v>12.2</v>
      </c>
      <c r="Q279" s="35">
        <v>3.87</v>
      </c>
      <c r="R279" s="35">
        <f t="shared" si="151"/>
        <v>47.213999999999999</v>
      </c>
      <c r="S279" s="43">
        <v>62200</v>
      </c>
      <c r="T279" s="44">
        <f t="shared" ref="T279:T280" si="157">S279*20/100</f>
        <v>12440</v>
      </c>
      <c r="U279" s="63">
        <f t="shared" si="156"/>
        <v>74640</v>
      </c>
      <c r="V279" s="140"/>
      <c r="W279" s="140"/>
      <c r="X279" s="52">
        <v>0</v>
      </c>
      <c r="Y279" s="48">
        <f t="shared" si="153"/>
        <v>0</v>
      </c>
      <c r="Z279" s="69">
        <v>0</v>
      </c>
      <c r="AA279" s="50">
        <f t="shared" si="154"/>
        <v>0</v>
      </c>
      <c r="AB279" s="50"/>
      <c r="AC279" s="52">
        <v>71530</v>
      </c>
      <c r="AD279" s="52">
        <f>S279*1.15-AC279</f>
        <v>0</v>
      </c>
      <c r="AE279" s="52">
        <f>S279*1.15+X279-AB279-AC279</f>
        <v>0</v>
      </c>
      <c r="AF279" s="52" t="b">
        <v>0</v>
      </c>
      <c r="AG279" s="52"/>
      <c r="AH279" s="52"/>
      <c r="AI279" s="52"/>
      <c r="AJ279" s="52"/>
      <c r="AK279" s="52"/>
      <c r="AL279" s="52"/>
      <c r="AM279" s="52" t="b">
        <v>0</v>
      </c>
      <c r="AN279" s="52"/>
      <c r="AO279" s="52"/>
      <c r="AP279" s="52"/>
      <c r="AQ279" s="52"/>
      <c r="AR279" s="52"/>
      <c r="AS279" s="52" t="b">
        <v>0</v>
      </c>
      <c r="AT279" s="52"/>
      <c r="AU279" s="52"/>
      <c r="AV279" s="52"/>
      <c r="AW279" s="52"/>
      <c r="AX279" s="52" t="str">
        <f t="shared" si="155"/>
        <v>ملتزم</v>
      </c>
      <c r="AY279" s="54" t="s">
        <v>69</v>
      </c>
      <c r="AZ279" s="43" t="s">
        <v>107</v>
      </c>
      <c r="BA279" s="55"/>
      <c r="BB279" s="55"/>
      <c r="BC279" s="55"/>
      <c r="BD279" s="54"/>
      <c r="BE279" s="68">
        <v>86066</v>
      </c>
      <c r="BF279" s="54"/>
      <c r="BG279" s="54"/>
      <c r="BH279" s="54"/>
      <c r="BI279" s="54" t="s">
        <v>112</v>
      </c>
      <c r="BJ279" s="54">
        <f>(U279+V279+AE279)-BD279-BE279</f>
        <v>-11426</v>
      </c>
      <c r="BK279" s="54" t="s">
        <v>586</v>
      </c>
    </row>
    <row r="280" spans="1:63" ht="34.5" hidden="1" customHeight="1" x14ac:dyDescent="0.25">
      <c r="A280" s="35">
        <f t="shared" si="133"/>
        <v>103</v>
      </c>
      <c r="B280" s="35" t="s">
        <v>588</v>
      </c>
      <c r="C280" s="105">
        <v>20367211425</v>
      </c>
      <c r="D280" s="37" t="s">
        <v>106</v>
      </c>
      <c r="E280" s="81" t="b">
        <v>0</v>
      </c>
      <c r="F280" s="81"/>
      <c r="G280" s="113">
        <v>46022</v>
      </c>
      <c r="H280" s="35">
        <v>1</v>
      </c>
      <c r="I280" s="35">
        <v>207</v>
      </c>
      <c r="J280" s="110">
        <v>18994</v>
      </c>
      <c r="K280" s="114">
        <v>7013479378</v>
      </c>
      <c r="L280" s="114">
        <v>559595209</v>
      </c>
      <c r="M280" s="81">
        <v>2056116607</v>
      </c>
      <c r="N280" s="35" t="s">
        <v>73</v>
      </c>
      <c r="O280" s="35" t="s">
        <v>97</v>
      </c>
      <c r="P280" s="35">
        <v>4.0999999999999996</v>
      </c>
      <c r="Q280" s="35">
        <v>4.05</v>
      </c>
      <c r="R280" s="35">
        <f t="shared" si="151"/>
        <v>16.604999999999997</v>
      </c>
      <c r="S280" s="44">
        <v>34000</v>
      </c>
      <c r="T280" s="44">
        <f t="shared" si="157"/>
        <v>6800</v>
      </c>
      <c r="U280" s="63">
        <f>S280+T280+200</f>
        <v>41000</v>
      </c>
      <c r="V280" s="44"/>
      <c r="W280" s="44"/>
      <c r="X280" s="54">
        <v>0</v>
      </c>
      <c r="Y280" s="89">
        <f t="shared" si="153"/>
        <v>0</v>
      </c>
      <c r="Z280" s="91">
        <v>0</v>
      </c>
      <c r="AA280" s="91">
        <f t="shared" si="154"/>
        <v>0</v>
      </c>
      <c r="AB280" s="91"/>
      <c r="AC280" s="54">
        <v>39100</v>
      </c>
      <c r="AD280" s="54">
        <f>S280*1.15-AC280</f>
        <v>0</v>
      </c>
      <c r="AE280" s="53">
        <f>S280*1.15+X280-AB280-AC280</f>
        <v>0</v>
      </c>
      <c r="AF280" s="52" t="b">
        <v>0</v>
      </c>
      <c r="AG280" s="52"/>
      <c r="AH280" s="52"/>
      <c r="AI280" s="52"/>
      <c r="AJ280" s="52"/>
      <c r="AK280" s="52"/>
      <c r="AL280" s="52"/>
      <c r="AM280" s="52" t="b">
        <v>0</v>
      </c>
      <c r="AN280" s="52"/>
      <c r="AO280" s="52"/>
      <c r="AP280" s="52"/>
      <c r="AQ280" s="52"/>
      <c r="AR280" s="52"/>
      <c r="AS280" s="52" t="b">
        <v>0</v>
      </c>
      <c r="AT280" s="54"/>
      <c r="AU280" s="54"/>
      <c r="AV280" s="54"/>
      <c r="AW280" s="54"/>
      <c r="AX280" s="54" t="str">
        <f t="shared" si="155"/>
        <v>ملتزم</v>
      </c>
      <c r="AY280" s="54" t="s">
        <v>69</v>
      </c>
      <c r="AZ280" s="43" t="s">
        <v>107</v>
      </c>
      <c r="BA280" s="55"/>
      <c r="BB280" s="55"/>
      <c r="BC280" s="55"/>
      <c r="BD280" s="54"/>
      <c r="BE280" s="68">
        <v>35365</v>
      </c>
      <c r="BF280" s="54"/>
      <c r="BG280" s="54"/>
      <c r="BH280" s="54"/>
      <c r="BI280" s="54" t="s">
        <v>76</v>
      </c>
      <c r="BJ280" s="54">
        <f>(U280+V280+AE280)-BD280-BE280</f>
        <v>5635</v>
      </c>
      <c r="BK280" s="54" t="s">
        <v>113</v>
      </c>
    </row>
    <row r="281" spans="1:63" ht="34.5" hidden="1" customHeight="1" x14ac:dyDescent="0.25">
      <c r="A281" s="35">
        <f t="shared" si="133"/>
        <v>104</v>
      </c>
      <c r="B281" s="35" t="s">
        <v>589</v>
      </c>
      <c r="C281" s="105">
        <v>20596231115</v>
      </c>
      <c r="D281" s="37" t="s">
        <v>106</v>
      </c>
      <c r="E281" s="81" t="b">
        <v>0</v>
      </c>
      <c r="F281" s="81"/>
      <c r="G281" s="65">
        <v>46022</v>
      </c>
      <c r="H281" s="35">
        <v>2</v>
      </c>
      <c r="I281" s="35" t="s">
        <v>590</v>
      </c>
      <c r="J281" s="95" t="s">
        <v>357</v>
      </c>
      <c r="K281" s="81">
        <v>7026034491</v>
      </c>
      <c r="L281" s="81">
        <v>506694896</v>
      </c>
      <c r="M281" s="81">
        <v>1089007692</v>
      </c>
      <c r="N281" s="35" t="s">
        <v>73</v>
      </c>
      <c r="O281" s="35" t="s">
        <v>97</v>
      </c>
      <c r="P281" s="35">
        <v>10</v>
      </c>
      <c r="Q281" s="35">
        <v>4.7</v>
      </c>
      <c r="R281" s="35">
        <f t="shared" si="151"/>
        <v>47</v>
      </c>
      <c r="S281" s="44">
        <v>60000</v>
      </c>
      <c r="T281" s="44">
        <f t="shared" ref="T281:T287" si="158">S281*10/100</f>
        <v>6000</v>
      </c>
      <c r="U281" s="63">
        <f t="shared" ref="U281:U286" si="159">S281+T281</f>
        <v>66000</v>
      </c>
      <c r="V281" s="106"/>
      <c r="W281" s="106"/>
      <c r="X281" s="52">
        <v>0</v>
      </c>
      <c r="Y281" s="48">
        <f t="shared" si="153"/>
        <v>0</v>
      </c>
      <c r="Z281" s="50">
        <v>0</v>
      </c>
      <c r="AA281" s="50">
        <f t="shared" si="154"/>
        <v>0</v>
      </c>
      <c r="AB281" s="50"/>
      <c r="AC281" s="52">
        <v>69000</v>
      </c>
      <c r="AD281" s="52">
        <f>S281*1.15-AC281</f>
        <v>0</v>
      </c>
      <c r="AE281" s="53">
        <f>S281*1.15+X281-AB281-AC281</f>
        <v>0</v>
      </c>
      <c r="AF281" s="52" t="b">
        <v>1</v>
      </c>
      <c r="AG281" s="117">
        <v>45698</v>
      </c>
      <c r="AH281" s="52">
        <v>51850</v>
      </c>
      <c r="AI281" s="54" t="s">
        <v>68</v>
      </c>
      <c r="AJ281" s="52" t="s">
        <v>136</v>
      </c>
      <c r="AK281" s="116" t="s">
        <v>591</v>
      </c>
      <c r="AL281" s="116"/>
      <c r="AM281" s="52" t="b">
        <v>0</v>
      </c>
      <c r="AN281" s="126" t="s">
        <v>152</v>
      </c>
      <c r="AO281" s="52">
        <v>51850</v>
      </c>
      <c r="AP281" s="54"/>
      <c r="AQ281" s="54"/>
      <c r="AR281" s="52"/>
      <c r="AS281" s="52" t="b">
        <v>0</v>
      </c>
      <c r="AT281" s="54"/>
      <c r="AU281" s="52"/>
      <c r="AV281" s="52"/>
      <c r="AW281" s="52"/>
      <c r="AX281" s="52" t="str">
        <f t="shared" si="155"/>
        <v>ملتزم</v>
      </c>
      <c r="AY281" s="54" t="s">
        <v>192</v>
      </c>
      <c r="AZ281" s="43" t="s">
        <v>107</v>
      </c>
      <c r="BA281" s="55"/>
      <c r="BB281" s="55"/>
      <c r="BC281" s="55"/>
      <c r="BD281" s="54"/>
      <c r="BE281" s="68">
        <v>17250</v>
      </c>
      <c r="BF281" s="54"/>
      <c r="BG281" s="54"/>
      <c r="BH281" s="54"/>
      <c r="BI281" s="54" t="s">
        <v>112</v>
      </c>
      <c r="BJ281" s="54">
        <f>(U281+V281+AE281)-BD281-BE281</f>
        <v>48750</v>
      </c>
      <c r="BK281" s="54" t="s">
        <v>592</v>
      </c>
    </row>
    <row r="282" spans="1:63" ht="34.5" hidden="1" customHeight="1" x14ac:dyDescent="0.25">
      <c r="A282" s="35">
        <f t="shared" si="133"/>
        <v>105</v>
      </c>
      <c r="B282" s="36" t="s">
        <v>593</v>
      </c>
      <c r="C282" s="35"/>
      <c r="D282" s="81" t="s">
        <v>134</v>
      </c>
      <c r="E282" s="81" t="b">
        <v>0</v>
      </c>
      <c r="F282" s="81"/>
      <c r="G282" s="65"/>
      <c r="H282" s="35">
        <v>1</v>
      </c>
      <c r="I282" s="35">
        <v>111</v>
      </c>
      <c r="J282" s="81"/>
      <c r="K282" s="81" t="s">
        <v>594</v>
      </c>
      <c r="L282" s="81"/>
      <c r="M282" s="81"/>
      <c r="N282" s="35" t="s">
        <v>64</v>
      </c>
      <c r="O282" s="42" t="s">
        <v>65</v>
      </c>
      <c r="P282" s="35"/>
      <c r="Q282" s="35"/>
      <c r="R282" s="35">
        <f t="shared" si="151"/>
        <v>0</v>
      </c>
      <c r="S282" s="43">
        <v>22000</v>
      </c>
      <c r="T282" s="44">
        <f t="shared" si="158"/>
        <v>2200</v>
      </c>
      <c r="U282" s="63">
        <f t="shared" si="159"/>
        <v>24200</v>
      </c>
      <c r="V282" s="64"/>
      <c r="W282" s="64"/>
      <c r="X282" s="47"/>
      <c r="Y282" s="48">
        <f t="shared" si="153"/>
        <v>0</v>
      </c>
      <c r="Z282" s="49">
        <v>0</v>
      </c>
      <c r="AA282" s="50">
        <f t="shared" si="154"/>
        <v>0</v>
      </c>
      <c r="AB282" s="50"/>
      <c r="AC282" s="51">
        <v>26450</v>
      </c>
      <c r="AD282" s="52">
        <f>S282*1.15-AC282</f>
        <v>-1150.0000000000036</v>
      </c>
      <c r="AE282" s="73">
        <f>S282*1.15+X282-AB282-AC282</f>
        <v>-1150.0000000000036</v>
      </c>
      <c r="AF282" s="52" t="b">
        <v>0</v>
      </c>
      <c r="AG282" s="52"/>
      <c r="AH282" s="52"/>
      <c r="AI282" s="52"/>
      <c r="AJ282" s="52"/>
      <c r="AK282" s="52"/>
      <c r="AL282" s="52"/>
      <c r="AM282" s="52" t="b">
        <v>0</v>
      </c>
      <c r="AN282" s="52"/>
      <c r="AO282" s="52"/>
      <c r="AP282" s="52"/>
      <c r="AQ282" s="52"/>
      <c r="AR282" s="52"/>
      <c r="AS282" s="52" t="b">
        <v>0</v>
      </c>
      <c r="AT282" s="52"/>
      <c r="AU282" s="52"/>
      <c r="AV282" s="52"/>
      <c r="AW282" s="52"/>
      <c r="AX282" s="52" t="str">
        <f t="shared" si="155"/>
        <v>ملتزم</v>
      </c>
      <c r="AY282" s="54" t="s">
        <v>69</v>
      </c>
      <c r="AZ282" s="43" t="s">
        <v>78</v>
      </c>
      <c r="BA282" s="55" t="s">
        <v>595</v>
      </c>
      <c r="BB282" s="55"/>
      <c r="BC282" s="55"/>
      <c r="BD282" s="54"/>
      <c r="BE282" s="54"/>
      <c r="BF282" s="54"/>
      <c r="BG282" s="54"/>
      <c r="BH282" s="54"/>
      <c r="BI282" s="52" t="s">
        <v>72</v>
      </c>
      <c r="BJ282" s="54">
        <f>(U282+V282+AE282)-BD282-BE282</f>
        <v>23049.999999999996</v>
      </c>
      <c r="BK282" s="54"/>
    </row>
    <row r="283" spans="1:63" ht="34.5" hidden="1" customHeight="1" x14ac:dyDescent="0.25">
      <c r="A283" s="35">
        <f t="shared" si="133"/>
        <v>106</v>
      </c>
      <c r="B283" s="35" t="s">
        <v>596</v>
      </c>
      <c r="C283" s="105">
        <v>20353240260</v>
      </c>
      <c r="D283" s="37" t="s">
        <v>106</v>
      </c>
      <c r="E283" s="81" t="b">
        <v>0</v>
      </c>
      <c r="F283" s="81"/>
      <c r="G283" s="65">
        <v>46022</v>
      </c>
      <c r="H283" s="35">
        <v>1</v>
      </c>
      <c r="I283" s="35">
        <v>371</v>
      </c>
      <c r="J283" s="95" t="s">
        <v>597</v>
      </c>
      <c r="K283" s="81">
        <v>7012558818</v>
      </c>
      <c r="L283" s="81">
        <v>554220667</v>
      </c>
      <c r="M283" s="81">
        <v>1001122835</v>
      </c>
      <c r="N283" s="35" t="s">
        <v>73</v>
      </c>
      <c r="O283" s="35" t="s">
        <v>97</v>
      </c>
      <c r="P283" s="35">
        <v>5</v>
      </c>
      <c r="Q283" s="35">
        <v>4</v>
      </c>
      <c r="R283" s="35">
        <f t="shared" si="151"/>
        <v>20</v>
      </c>
      <c r="S283" s="44">
        <v>30000</v>
      </c>
      <c r="T283" s="44">
        <f t="shared" si="158"/>
        <v>3000</v>
      </c>
      <c r="U283" s="63">
        <f t="shared" si="159"/>
        <v>33000</v>
      </c>
      <c r="V283" s="106"/>
      <c r="W283" s="106"/>
      <c r="X283" s="52">
        <v>0</v>
      </c>
      <c r="Y283" s="48">
        <f t="shared" si="153"/>
        <v>0</v>
      </c>
      <c r="Z283" s="50">
        <v>0</v>
      </c>
      <c r="AA283" s="50">
        <f t="shared" si="154"/>
        <v>0</v>
      </c>
      <c r="AB283" s="50"/>
      <c r="AC283" s="52">
        <v>34500</v>
      </c>
      <c r="AD283" s="52">
        <f>S283*1.15-AC283</f>
        <v>0</v>
      </c>
      <c r="AE283" s="53">
        <f>S283*1.15+X283-AB283-AC283</f>
        <v>0</v>
      </c>
      <c r="AF283" s="52" t="b">
        <v>0</v>
      </c>
      <c r="AG283" s="52"/>
      <c r="AH283" s="52"/>
      <c r="AI283" s="52"/>
      <c r="AJ283" s="52"/>
      <c r="AK283" s="52"/>
      <c r="AL283" s="52"/>
      <c r="AM283" s="52" t="b">
        <v>0</v>
      </c>
      <c r="AN283" s="52"/>
      <c r="AO283" s="52"/>
      <c r="AP283" s="52"/>
      <c r="AQ283" s="52"/>
      <c r="AR283" s="52"/>
      <c r="AS283" s="52" t="b">
        <v>0</v>
      </c>
      <c r="AT283" s="52"/>
      <c r="AU283" s="52"/>
      <c r="AV283" s="52"/>
      <c r="AW283" s="52"/>
      <c r="AX283" s="52" t="str">
        <f t="shared" si="155"/>
        <v>ملتزم</v>
      </c>
      <c r="AY283" s="54" t="s">
        <v>69</v>
      </c>
      <c r="AZ283" s="43" t="s">
        <v>107</v>
      </c>
      <c r="BA283" s="55"/>
      <c r="BB283" s="55"/>
      <c r="BC283" s="55"/>
      <c r="BD283" s="54"/>
      <c r="BE283" s="68">
        <v>28635</v>
      </c>
      <c r="BF283" s="54"/>
      <c r="BG283" s="54"/>
      <c r="BH283" s="54"/>
      <c r="BI283" s="54" t="s">
        <v>76</v>
      </c>
      <c r="BJ283" s="54">
        <f>(U283+V283+AE283)-BD283-BE283</f>
        <v>4365</v>
      </c>
      <c r="BK283" s="54" t="s">
        <v>113</v>
      </c>
    </row>
    <row r="284" spans="1:63" ht="34.5" hidden="1" customHeight="1" x14ac:dyDescent="0.25">
      <c r="A284" s="35">
        <f t="shared" si="133"/>
        <v>107</v>
      </c>
      <c r="B284" s="35" t="s">
        <v>598</v>
      </c>
      <c r="C284" s="105">
        <v>20619308215</v>
      </c>
      <c r="D284" s="37" t="s">
        <v>106</v>
      </c>
      <c r="E284" s="81" t="b">
        <v>0</v>
      </c>
      <c r="F284" s="81"/>
      <c r="G284" s="65">
        <v>46022</v>
      </c>
      <c r="H284" s="35">
        <v>2</v>
      </c>
      <c r="I284" s="35" t="s">
        <v>599</v>
      </c>
      <c r="J284" s="95" t="s">
        <v>282</v>
      </c>
      <c r="K284" s="81">
        <v>7005702076</v>
      </c>
      <c r="L284" s="81">
        <v>505616748</v>
      </c>
      <c r="M284" s="81">
        <v>1026810190</v>
      </c>
      <c r="N284" s="35" t="s">
        <v>73</v>
      </c>
      <c r="O284" s="35" t="s">
        <v>97</v>
      </c>
      <c r="P284" s="35">
        <v>8.6300000000000008</v>
      </c>
      <c r="Q284" s="35">
        <v>4.7699999999999996</v>
      </c>
      <c r="R284" s="35">
        <f t="shared" si="151"/>
        <v>41.165100000000002</v>
      </c>
      <c r="S284" s="44">
        <v>60000</v>
      </c>
      <c r="T284" s="44">
        <f t="shared" si="158"/>
        <v>6000</v>
      </c>
      <c r="U284" s="63">
        <f t="shared" si="159"/>
        <v>66000</v>
      </c>
      <c r="V284" s="106"/>
      <c r="W284" s="106"/>
      <c r="X284" s="45">
        <v>64255</v>
      </c>
      <c r="Y284" s="48">
        <f t="shared" si="153"/>
        <v>55873.913043478264</v>
      </c>
      <c r="Z284" s="50">
        <v>0</v>
      </c>
      <c r="AA284" s="50">
        <f t="shared" si="154"/>
        <v>0</v>
      </c>
      <c r="AB284" s="50"/>
      <c r="AC284" s="52">
        <v>12650</v>
      </c>
      <c r="AD284" s="52">
        <f>S284*1.15-AC284</f>
        <v>56350</v>
      </c>
      <c r="AE284" s="53">
        <f>S284*1.15+X284-AB284-AC284</f>
        <v>120605</v>
      </c>
      <c r="AF284" s="52" t="b">
        <v>0</v>
      </c>
      <c r="AG284" s="52"/>
      <c r="AH284" s="52"/>
      <c r="AI284" s="52"/>
      <c r="AJ284" s="52"/>
      <c r="AK284" s="52"/>
      <c r="AL284" s="52"/>
      <c r="AM284" s="52" t="b">
        <v>0</v>
      </c>
      <c r="AN284" s="52"/>
      <c r="AO284" s="52"/>
      <c r="AP284" s="52"/>
      <c r="AQ284" s="52"/>
      <c r="AR284" s="52"/>
      <c r="AS284" s="52" t="b">
        <v>0</v>
      </c>
      <c r="AT284" s="52"/>
      <c r="AU284" s="52"/>
      <c r="AV284" s="52"/>
      <c r="AW284" s="52"/>
      <c r="AX284" s="52" t="str">
        <f t="shared" si="155"/>
        <v>غير ملتزم</v>
      </c>
      <c r="AY284" s="54" t="s">
        <v>77</v>
      </c>
      <c r="AZ284" s="43" t="s">
        <v>107</v>
      </c>
      <c r="BA284" s="55"/>
      <c r="BB284" s="55"/>
      <c r="BC284" s="55"/>
      <c r="BD284" s="54"/>
      <c r="BE284" s="68"/>
      <c r="BF284" s="54"/>
      <c r="BG284" s="54"/>
      <c r="BH284" s="54"/>
      <c r="BI284" s="54"/>
      <c r="BJ284" s="54">
        <f>(U284+V284+AE284)-BD284-BE284</f>
        <v>186605</v>
      </c>
      <c r="BK284" s="54"/>
    </row>
    <row r="285" spans="1:63" ht="34.5" hidden="1" customHeight="1" x14ac:dyDescent="0.25">
      <c r="A285" s="35">
        <f t="shared" si="133"/>
        <v>108</v>
      </c>
      <c r="B285" s="35" t="s">
        <v>600</v>
      </c>
      <c r="C285" s="105">
        <v>20495268338</v>
      </c>
      <c r="D285" s="81" t="s">
        <v>100</v>
      </c>
      <c r="E285" s="81" t="b">
        <v>0</v>
      </c>
      <c r="F285" s="81"/>
      <c r="G285" s="65">
        <v>45657</v>
      </c>
      <c r="H285" s="35">
        <v>2</v>
      </c>
      <c r="I285" s="35" t="s">
        <v>601</v>
      </c>
      <c r="J285" s="93" t="s">
        <v>357</v>
      </c>
      <c r="K285" s="85">
        <v>7034365671</v>
      </c>
      <c r="L285" s="81">
        <v>506649896</v>
      </c>
      <c r="M285" s="81">
        <v>1089007692</v>
      </c>
      <c r="N285" s="35" t="s">
        <v>73</v>
      </c>
      <c r="O285" s="35" t="s">
        <v>97</v>
      </c>
      <c r="P285" s="35">
        <v>10.65</v>
      </c>
      <c r="Q285" s="35">
        <v>4.6500000000000004</v>
      </c>
      <c r="R285" s="35">
        <f t="shared" si="151"/>
        <v>49.522500000000008</v>
      </c>
      <c r="S285" s="43">
        <v>60000</v>
      </c>
      <c r="T285" s="44">
        <f t="shared" si="158"/>
        <v>6000</v>
      </c>
      <c r="U285" s="63">
        <f t="shared" si="159"/>
        <v>66000</v>
      </c>
      <c r="V285" s="106"/>
      <c r="W285" s="106"/>
      <c r="X285" s="45"/>
      <c r="Y285" s="48">
        <f t="shared" si="153"/>
        <v>0</v>
      </c>
      <c r="Z285" s="50">
        <v>0</v>
      </c>
      <c r="AA285" s="50">
        <f t="shared" si="154"/>
        <v>0</v>
      </c>
      <c r="AB285" s="50"/>
      <c r="AC285" s="52">
        <v>50438</v>
      </c>
      <c r="AD285" s="52">
        <f>S285*1.15-AC285</f>
        <v>18562</v>
      </c>
      <c r="AE285" s="53">
        <f>S285*1.15+X285-AB285-AC285</f>
        <v>18562</v>
      </c>
      <c r="AF285" s="52" t="b">
        <v>0</v>
      </c>
      <c r="AG285" s="52"/>
      <c r="AH285" s="52"/>
      <c r="AI285" s="52"/>
      <c r="AJ285" s="52"/>
      <c r="AK285" s="52"/>
      <c r="AL285" s="52"/>
      <c r="AM285" s="52" t="b">
        <v>0</v>
      </c>
      <c r="AN285" s="52"/>
      <c r="AO285" s="52"/>
      <c r="AP285" s="52"/>
      <c r="AQ285" s="52"/>
      <c r="AR285" s="52"/>
      <c r="AS285" s="52" t="b">
        <v>0</v>
      </c>
      <c r="AT285" s="52"/>
      <c r="AU285" s="52"/>
      <c r="AV285" s="52"/>
      <c r="AW285" s="52"/>
      <c r="AX285" s="52" t="str">
        <f t="shared" si="155"/>
        <v>غير ملتزم</v>
      </c>
      <c r="AY285" s="54" t="s">
        <v>77</v>
      </c>
      <c r="AZ285" s="43" t="s">
        <v>86</v>
      </c>
      <c r="BA285" s="55"/>
      <c r="BB285" s="55" t="s">
        <v>136</v>
      </c>
      <c r="BC285" s="55" t="s">
        <v>602</v>
      </c>
      <c r="BD285" s="54"/>
      <c r="BE285" s="68">
        <v>0</v>
      </c>
      <c r="BF285" s="54"/>
      <c r="BG285" s="54"/>
      <c r="BH285" s="54"/>
      <c r="BI285" s="54" t="s">
        <v>112</v>
      </c>
      <c r="BJ285" s="54">
        <f>(U285+V285+AE285)-BD285-BE285</f>
        <v>84562</v>
      </c>
      <c r="BK285" s="54"/>
    </row>
    <row r="286" spans="1:63" ht="34.5" hidden="1" customHeight="1" x14ac:dyDescent="0.25">
      <c r="A286" s="35">
        <f t="shared" si="133"/>
        <v>109</v>
      </c>
      <c r="B286" s="75" t="s">
        <v>600</v>
      </c>
      <c r="C286" s="75">
        <v>20227355381</v>
      </c>
      <c r="D286" s="81" t="s">
        <v>100</v>
      </c>
      <c r="E286" s="81" t="b">
        <v>0</v>
      </c>
      <c r="F286" s="81"/>
      <c r="G286" s="65">
        <v>45657</v>
      </c>
      <c r="H286" s="76">
        <v>1</v>
      </c>
      <c r="I286" s="76" t="s">
        <v>603</v>
      </c>
      <c r="J286" s="79" t="s">
        <v>604</v>
      </c>
      <c r="K286" s="109">
        <v>7034365671</v>
      </c>
      <c r="L286" s="109">
        <v>56649896</v>
      </c>
      <c r="M286" s="79">
        <v>1089007692</v>
      </c>
      <c r="N286" s="35" t="s">
        <v>73</v>
      </c>
      <c r="O286" s="42" t="s">
        <v>74</v>
      </c>
      <c r="P286" s="35">
        <v>10</v>
      </c>
      <c r="Q286" s="35">
        <v>8</v>
      </c>
      <c r="R286" s="35">
        <f t="shared" si="151"/>
        <v>80</v>
      </c>
      <c r="S286" s="80">
        <v>30000</v>
      </c>
      <c r="T286" s="44">
        <f t="shared" si="158"/>
        <v>3000</v>
      </c>
      <c r="U286" s="63">
        <f t="shared" si="159"/>
        <v>33000</v>
      </c>
      <c r="V286" s="64"/>
      <c r="W286" s="64"/>
      <c r="X286" s="52">
        <v>0</v>
      </c>
      <c r="Y286" s="48">
        <f t="shared" si="153"/>
        <v>0</v>
      </c>
      <c r="Z286" s="69">
        <v>0</v>
      </c>
      <c r="AA286" s="50">
        <f t="shared" si="154"/>
        <v>0</v>
      </c>
      <c r="AB286" s="50"/>
      <c r="AC286" s="52">
        <v>3100</v>
      </c>
      <c r="AD286" s="52">
        <f>S286*1.15-AC286</f>
        <v>31400</v>
      </c>
      <c r="AE286" s="53">
        <f>S286*1.15+X286-AB286-AC286</f>
        <v>31400</v>
      </c>
      <c r="AF286" s="52" t="b">
        <v>0</v>
      </c>
      <c r="AG286" s="52"/>
      <c r="AH286" s="52"/>
      <c r="AI286" s="52"/>
      <c r="AJ286" s="52"/>
      <c r="AK286" s="52"/>
      <c r="AL286" s="52"/>
      <c r="AM286" s="52" t="b">
        <v>0</v>
      </c>
      <c r="AN286" s="52"/>
      <c r="AO286" s="52"/>
      <c r="AP286" s="52"/>
      <c r="AQ286" s="52"/>
      <c r="AR286" s="52"/>
      <c r="AS286" s="52" t="b">
        <v>0</v>
      </c>
      <c r="AT286" s="52"/>
      <c r="AU286" s="52"/>
      <c r="AV286" s="52"/>
      <c r="AW286" s="52"/>
      <c r="AX286" s="52" t="str">
        <f t="shared" si="155"/>
        <v>غير ملتزم</v>
      </c>
      <c r="AY286" s="54" t="s">
        <v>69</v>
      </c>
      <c r="AZ286" s="43" t="s">
        <v>86</v>
      </c>
      <c r="BA286" s="55"/>
      <c r="BB286" s="55" t="s">
        <v>136</v>
      </c>
      <c r="BC286" s="55" t="s">
        <v>602</v>
      </c>
      <c r="BD286" s="54"/>
      <c r="BE286" s="68">
        <v>0</v>
      </c>
      <c r="BF286" s="54"/>
      <c r="BG286" s="54"/>
      <c r="BH286" s="54"/>
      <c r="BI286" s="54" t="s">
        <v>76</v>
      </c>
      <c r="BJ286" s="54">
        <f>(U286+V286+AE286)-BD286-BE286</f>
        <v>64400</v>
      </c>
      <c r="BK286" s="54"/>
    </row>
    <row r="287" spans="1:63" ht="34.5" hidden="1" customHeight="1" x14ac:dyDescent="0.25">
      <c r="A287" s="35">
        <f t="shared" si="133"/>
        <v>110</v>
      </c>
      <c r="B287" s="35" t="s">
        <v>605</v>
      </c>
      <c r="C287" s="105">
        <v>20549469290</v>
      </c>
      <c r="D287" s="37" t="s">
        <v>106</v>
      </c>
      <c r="E287" s="81" t="b">
        <v>0</v>
      </c>
      <c r="F287" s="81"/>
      <c r="G287" s="113">
        <v>46022</v>
      </c>
      <c r="H287" s="35">
        <v>2</v>
      </c>
      <c r="I287" s="35" t="s">
        <v>606</v>
      </c>
      <c r="J287" s="95" t="s">
        <v>220</v>
      </c>
      <c r="K287" s="81">
        <v>7023617744</v>
      </c>
      <c r="L287" s="81">
        <v>571400343</v>
      </c>
      <c r="M287" s="81">
        <v>1026265759</v>
      </c>
      <c r="N287" s="35" t="s">
        <v>73</v>
      </c>
      <c r="O287" s="35" t="s">
        <v>97</v>
      </c>
      <c r="P287" s="35">
        <v>10.4</v>
      </c>
      <c r="Q287" s="35">
        <v>3.6</v>
      </c>
      <c r="R287" s="35">
        <f t="shared" si="151"/>
        <v>37.440000000000005</v>
      </c>
      <c r="S287" s="44">
        <v>60000</v>
      </c>
      <c r="T287" s="44">
        <f t="shared" si="158"/>
        <v>6000</v>
      </c>
      <c r="U287" s="63">
        <f>S287+T287+200</f>
        <v>66200</v>
      </c>
      <c r="V287" s="44"/>
      <c r="W287" s="44"/>
      <c r="X287" s="54">
        <v>0</v>
      </c>
      <c r="Y287" s="89">
        <f t="shared" si="153"/>
        <v>0</v>
      </c>
      <c r="Z287" s="91">
        <v>0</v>
      </c>
      <c r="AA287" s="91">
        <f t="shared" si="154"/>
        <v>0</v>
      </c>
      <c r="AB287" s="91"/>
      <c r="AC287" s="54">
        <v>69000</v>
      </c>
      <c r="AD287" s="54">
        <f>S287*1.15-AC287</f>
        <v>0</v>
      </c>
      <c r="AE287" s="53">
        <f>S287*1.15+X287-AB287-AC287</f>
        <v>0</v>
      </c>
      <c r="AF287" s="52" t="b">
        <v>0</v>
      </c>
      <c r="AG287" s="52"/>
      <c r="AH287" s="52"/>
      <c r="AI287" s="52"/>
      <c r="AJ287" s="52"/>
      <c r="AK287" s="52"/>
      <c r="AL287" s="52"/>
      <c r="AM287" s="52" t="b">
        <v>0</v>
      </c>
      <c r="AN287" s="52"/>
      <c r="AO287" s="52"/>
      <c r="AP287" s="52"/>
      <c r="AQ287" s="52"/>
      <c r="AR287" s="52"/>
      <c r="AS287" s="52" t="b">
        <v>0</v>
      </c>
      <c r="AT287" s="54"/>
      <c r="AU287" s="54"/>
      <c r="AV287" s="54"/>
      <c r="AW287" s="54"/>
      <c r="AX287" s="54" t="str">
        <f t="shared" si="155"/>
        <v>ملتزم</v>
      </c>
      <c r="AY287" s="54" t="s">
        <v>69</v>
      </c>
      <c r="AZ287" s="43" t="s">
        <v>107</v>
      </c>
      <c r="BA287" s="55"/>
      <c r="BB287" s="55"/>
      <c r="BC287" s="55"/>
      <c r="BD287" s="54"/>
      <c r="BE287" s="68">
        <v>37950</v>
      </c>
      <c r="BF287" s="54"/>
      <c r="BG287" s="54"/>
      <c r="BH287" s="54"/>
      <c r="BI287" s="54" t="s">
        <v>112</v>
      </c>
      <c r="BJ287" s="54">
        <f>(U287+V287+AE287)-BD287-BE287</f>
        <v>28250</v>
      </c>
      <c r="BK287" s="54" t="s">
        <v>113</v>
      </c>
    </row>
    <row r="288" spans="1:63" ht="34.5" hidden="1" customHeight="1" x14ac:dyDescent="0.25">
      <c r="A288" s="35">
        <f t="shared" si="133"/>
        <v>111</v>
      </c>
      <c r="B288" s="35" t="s">
        <v>607</v>
      </c>
      <c r="C288" s="105">
        <v>20863673974</v>
      </c>
      <c r="D288" s="37" t="s">
        <v>106</v>
      </c>
      <c r="E288" s="81" t="b">
        <v>0</v>
      </c>
      <c r="F288" s="81"/>
      <c r="G288" s="65">
        <v>46022</v>
      </c>
      <c r="H288" s="35">
        <v>1</v>
      </c>
      <c r="I288" s="35">
        <v>382</v>
      </c>
      <c r="J288" s="95" t="s">
        <v>282</v>
      </c>
      <c r="K288" s="81">
        <v>7012890815</v>
      </c>
      <c r="L288" s="81">
        <v>506351663</v>
      </c>
      <c r="M288" s="81">
        <v>1026810190</v>
      </c>
      <c r="N288" s="35" t="s">
        <v>73</v>
      </c>
      <c r="O288" s="35" t="s">
        <v>97</v>
      </c>
      <c r="P288" s="35">
        <v>4.75</v>
      </c>
      <c r="Q288" s="35">
        <v>4.3899999999999997</v>
      </c>
      <c r="R288" s="35">
        <f t="shared" si="151"/>
        <v>20.852499999999999</v>
      </c>
      <c r="S288" s="44">
        <v>34000</v>
      </c>
      <c r="T288" s="44">
        <f>S288*20/100</f>
        <v>6800</v>
      </c>
      <c r="U288" s="63">
        <f t="shared" ref="U288:U290" si="160">S288+T288</f>
        <v>40800</v>
      </c>
      <c r="V288" s="140"/>
      <c r="W288" s="140"/>
      <c r="X288" s="45">
        <v>17662</v>
      </c>
      <c r="Y288" s="48">
        <f t="shared" si="153"/>
        <v>15358.260869565218</v>
      </c>
      <c r="Z288" s="50">
        <v>0</v>
      </c>
      <c r="AA288" s="50">
        <f t="shared" si="154"/>
        <v>0</v>
      </c>
      <c r="AB288" s="50">
        <v>17662</v>
      </c>
      <c r="AC288" s="52">
        <v>39100</v>
      </c>
      <c r="AD288" s="52">
        <f>S288*1.15-AC288</f>
        <v>0</v>
      </c>
      <c r="AE288" s="53">
        <f>S288*1.15+X288-AB288-AC288</f>
        <v>0</v>
      </c>
      <c r="AF288" s="52" t="b">
        <v>0</v>
      </c>
      <c r="AG288" s="52"/>
      <c r="AH288" s="52"/>
      <c r="AI288" s="52"/>
      <c r="AJ288" s="52"/>
      <c r="AK288" s="52"/>
      <c r="AL288" s="52"/>
      <c r="AM288" s="52" t="b">
        <v>0</v>
      </c>
      <c r="AN288" s="52"/>
      <c r="AO288" s="52"/>
      <c r="AP288" s="52"/>
      <c r="AQ288" s="52"/>
      <c r="AR288" s="52"/>
      <c r="AS288" s="52" t="b">
        <v>0</v>
      </c>
      <c r="AT288" s="52"/>
      <c r="AU288" s="52"/>
      <c r="AV288" s="52"/>
      <c r="AW288" s="52"/>
      <c r="AX288" s="52" t="str">
        <f t="shared" si="155"/>
        <v>ملتزم</v>
      </c>
      <c r="AY288" s="54" t="s">
        <v>77</v>
      </c>
      <c r="AZ288" s="43" t="s">
        <v>107</v>
      </c>
      <c r="BA288" s="55"/>
      <c r="BB288" s="55"/>
      <c r="BC288" s="55"/>
      <c r="BD288" s="54"/>
      <c r="BE288" s="68">
        <v>7820</v>
      </c>
      <c r="BF288" s="54"/>
      <c r="BG288" s="54"/>
      <c r="BH288" s="54"/>
      <c r="BI288" s="54" t="s">
        <v>72</v>
      </c>
      <c r="BJ288" s="54">
        <f>(U288+V288+AE288)-BD288-BE288</f>
        <v>32980</v>
      </c>
      <c r="BK288" s="54"/>
    </row>
    <row r="289" spans="1:63" ht="34.5" hidden="1" customHeight="1" x14ac:dyDescent="0.25">
      <c r="A289" s="35">
        <f t="shared" si="133"/>
        <v>112</v>
      </c>
      <c r="B289" s="35" t="s">
        <v>608</v>
      </c>
      <c r="C289" s="105">
        <v>20396862840</v>
      </c>
      <c r="D289" s="37" t="s">
        <v>106</v>
      </c>
      <c r="E289" s="81" t="b">
        <v>0</v>
      </c>
      <c r="F289" s="81"/>
      <c r="G289" s="65">
        <v>46022</v>
      </c>
      <c r="H289" s="35">
        <v>2</v>
      </c>
      <c r="I289" s="35" t="s">
        <v>609</v>
      </c>
      <c r="J289" s="110">
        <v>29777</v>
      </c>
      <c r="K289" s="81">
        <v>7008069390</v>
      </c>
      <c r="L289" s="81">
        <v>560446000</v>
      </c>
      <c r="M289" s="81">
        <v>2329685602</v>
      </c>
      <c r="N289" s="35" t="s">
        <v>73</v>
      </c>
      <c r="O289" s="35" t="s">
        <v>97</v>
      </c>
      <c r="P289" s="35">
        <v>8</v>
      </c>
      <c r="Q289" s="35">
        <v>3.4</v>
      </c>
      <c r="R289" s="35">
        <f t="shared" si="151"/>
        <v>27.2</v>
      </c>
      <c r="S289" s="43">
        <v>60000</v>
      </c>
      <c r="T289" s="44">
        <f t="shared" ref="T289:T290" si="161">S289*10/100</f>
        <v>6000</v>
      </c>
      <c r="U289" s="63">
        <f t="shared" si="160"/>
        <v>66000</v>
      </c>
      <c r="V289" s="106"/>
      <c r="W289" s="106"/>
      <c r="X289" s="45">
        <v>0</v>
      </c>
      <c r="Y289" s="48">
        <f t="shared" si="153"/>
        <v>0</v>
      </c>
      <c r="Z289" s="50">
        <v>0</v>
      </c>
      <c r="AA289" s="50">
        <f t="shared" si="154"/>
        <v>0</v>
      </c>
      <c r="AB289" s="50"/>
      <c r="AC289" s="52">
        <v>69000</v>
      </c>
      <c r="AD289" s="52">
        <f>S289*1.15-AC289</f>
        <v>0</v>
      </c>
      <c r="AE289" s="53">
        <f>S289*1.15+X289-AB289-AC289</f>
        <v>0</v>
      </c>
      <c r="AF289" s="52" t="b">
        <v>0</v>
      </c>
      <c r="AG289" s="52"/>
      <c r="AH289" s="52"/>
      <c r="AI289" s="52"/>
      <c r="AJ289" s="52"/>
      <c r="AK289" s="52"/>
      <c r="AL289" s="52"/>
      <c r="AM289" s="52" t="b">
        <v>0</v>
      </c>
      <c r="AN289" s="52"/>
      <c r="AO289" s="52"/>
      <c r="AP289" s="52"/>
      <c r="AQ289" s="52"/>
      <c r="AR289" s="52"/>
      <c r="AS289" s="52" t="b">
        <v>0</v>
      </c>
      <c r="AT289" s="52"/>
      <c r="AU289" s="52"/>
      <c r="AV289" s="52"/>
      <c r="AW289" s="52"/>
      <c r="AX289" s="52" t="str">
        <f t="shared" si="155"/>
        <v>ملتزم</v>
      </c>
      <c r="AY289" s="54" t="s">
        <v>77</v>
      </c>
      <c r="AZ289" s="43" t="s">
        <v>107</v>
      </c>
      <c r="BA289" s="55"/>
      <c r="BB289" s="55"/>
      <c r="BC289" s="55"/>
      <c r="BD289" s="54"/>
      <c r="BE289" s="68">
        <v>18975</v>
      </c>
      <c r="BF289" s="54"/>
      <c r="BG289" s="54"/>
      <c r="BH289" s="54"/>
      <c r="BI289" s="54" t="s">
        <v>72</v>
      </c>
      <c r="BJ289" s="54">
        <f>(U289+V289+AE289)-BD289-BE289</f>
        <v>47025</v>
      </c>
      <c r="BK289" s="54"/>
    </row>
    <row r="290" spans="1:63" ht="34.5" hidden="1" customHeight="1" x14ac:dyDescent="0.25">
      <c r="A290" s="35">
        <f t="shared" si="133"/>
        <v>113</v>
      </c>
      <c r="B290" s="35" t="s">
        <v>610</v>
      </c>
      <c r="C290" s="35">
        <v>20214974946</v>
      </c>
      <c r="D290" s="37" t="s">
        <v>106</v>
      </c>
      <c r="E290" s="81" t="b">
        <v>0</v>
      </c>
      <c r="F290" s="81"/>
      <c r="G290" s="65">
        <v>46022</v>
      </c>
      <c r="H290" s="35">
        <v>1</v>
      </c>
      <c r="I290" s="35">
        <v>133</v>
      </c>
      <c r="J290" s="95" t="s">
        <v>611</v>
      </c>
      <c r="K290" s="81">
        <v>7006954502</v>
      </c>
      <c r="L290" s="81">
        <v>500144999</v>
      </c>
      <c r="M290" s="81">
        <v>1004249130</v>
      </c>
      <c r="N290" s="35" t="s">
        <v>64</v>
      </c>
      <c r="O290" s="42" t="s">
        <v>84</v>
      </c>
      <c r="P290" s="35">
        <v>9.4</v>
      </c>
      <c r="Q290" s="35">
        <v>8.3000000000000007</v>
      </c>
      <c r="R290" s="35">
        <f t="shared" si="151"/>
        <v>78.02000000000001</v>
      </c>
      <c r="S290" s="43">
        <v>28000</v>
      </c>
      <c r="T290" s="44">
        <f t="shared" si="161"/>
        <v>2800</v>
      </c>
      <c r="U290" s="63">
        <f t="shared" si="160"/>
        <v>30800</v>
      </c>
      <c r="V290" s="46">
        <v>37500</v>
      </c>
      <c r="W290" s="46"/>
      <c r="X290" s="51">
        <v>0</v>
      </c>
      <c r="Y290" s="48">
        <f t="shared" si="153"/>
        <v>0</v>
      </c>
      <c r="Z290" s="49">
        <v>0</v>
      </c>
      <c r="AA290" s="50">
        <f t="shared" si="154"/>
        <v>0</v>
      </c>
      <c r="AB290" s="50"/>
      <c r="AC290" s="51">
        <v>32200</v>
      </c>
      <c r="AD290" s="52">
        <f>S290*1.15-AC290</f>
        <v>0</v>
      </c>
      <c r="AE290" s="53">
        <f>S290*1.15+X290-AB290-AC290</f>
        <v>0</v>
      </c>
      <c r="AF290" s="52" t="b">
        <v>0</v>
      </c>
      <c r="AG290" s="52"/>
      <c r="AH290" s="52"/>
      <c r="AI290" s="52"/>
      <c r="AJ290" s="52"/>
      <c r="AK290" s="52"/>
      <c r="AL290" s="52"/>
      <c r="AM290" s="52" t="b">
        <v>0</v>
      </c>
      <c r="AN290" s="52"/>
      <c r="AO290" s="52"/>
      <c r="AP290" s="52"/>
      <c r="AQ290" s="52"/>
      <c r="AR290" s="52"/>
      <c r="AS290" s="52" t="b">
        <v>0</v>
      </c>
      <c r="AT290" s="52"/>
      <c r="AU290" s="52"/>
      <c r="AV290" s="52"/>
      <c r="AW290" s="52"/>
      <c r="AX290" s="52" t="str">
        <f t="shared" si="155"/>
        <v>ملتزم</v>
      </c>
      <c r="AY290" s="54" t="s">
        <v>77</v>
      </c>
      <c r="AZ290" s="43" t="s">
        <v>107</v>
      </c>
      <c r="BA290" s="55"/>
      <c r="BB290" s="55"/>
      <c r="BC290" s="55"/>
      <c r="BD290" s="54"/>
      <c r="BE290" s="54"/>
      <c r="BF290" s="54"/>
      <c r="BG290" s="54"/>
      <c r="BH290" s="54"/>
      <c r="BI290" s="54" t="s">
        <v>72</v>
      </c>
      <c r="BJ290" s="54">
        <f>(U290+V290+AE290)-BD290-BE290</f>
        <v>68300</v>
      </c>
      <c r="BK290" s="54"/>
    </row>
    <row r="291" spans="1:63" ht="34.5" hidden="1" customHeight="1" x14ac:dyDescent="0.25">
      <c r="A291" s="35">
        <f t="shared" si="133"/>
        <v>114</v>
      </c>
      <c r="B291" s="35" t="s">
        <v>612</v>
      </c>
      <c r="C291" s="111">
        <v>20544335260</v>
      </c>
      <c r="D291" s="37" t="s">
        <v>106</v>
      </c>
      <c r="E291" s="81" t="b">
        <v>0</v>
      </c>
      <c r="F291" s="81"/>
      <c r="G291" s="65">
        <v>46022</v>
      </c>
      <c r="H291" s="35">
        <v>2</v>
      </c>
      <c r="I291" s="35" t="s">
        <v>613</v>
      </c>
      <c r="J291" s="93" t="s">
        <v>611</v>
      </c>
      <c r="K291" s="86">
        <v>7006954502</v>
      </c>
      <c r="L291" s="87">
        <v>500144999</v>
      </c>
      <c r="M291" s="114">
        <v>1004249130</v>
      </c>
      <c r="N291" s="35" t="s">
        <v>64</v>
      </c>
      <c r="O291" s="42" t="s">
        <v>97</v>
      </c>
      <c r="P291" s="35">
        <v>12.2</v>
      </c>
      <c r="Q291" s="35">
        <v>3.87</v>
      </c>
      <c r="R291" s="35">
        <f t="shared" si="151"/>
        <v>47.213999999999999</v>
      </c>
      <c r="S291" s="43">
        <v>60200</v>
      </c>
      <c r="T291" s="44">
        <f>S291*20/100</f>
        <v>12040</v>
      </c>
      <c r="U291" s="63">
        <v>69440</v>
      </c>
      <c r="V291" s="106"/>
      <c r="W291" s="106"/>
      <c r="X291" s="52">
        <v>0</v>
      </c>
      <c r="Y291" s="48">
        <f t="shared" si="153"/>
        <v>0</v>
      </c>
      <c r="Z291" s="69">
        <v>0</v>
      </c>
      <c r="AA291" s="50">
        <f t="shared" si="154"/>
        <v>0</v>
      </c>
      <c r="AB291" s="50"/>
      <c r="AC291" s="52">
        <v>69230</v>
      </c>
      <c r="AD291" s="52">
        <f>S291*1.15-AC291</f>
        <v>0</v>
      </c>
      <c r="AE291" s="53">
        <f>S291*1.15+X291-AB291-AC291</f>
        <v>0</v>
      </c>
      <c r="AF291" s="52" t="b">
        <v>0</v>
      </c>
      <c r="AG291" s="52"/>
      <c r="AH291" s="52"/>
      <c r="AI291" s="52"/>
      <c r="AJ291" s="52"/>
      <c r="AK291" s="52"/>
      <c r="AL291" s="52"/>
      <c r="AM291" s="52" t="b">
        <v>0</v>
      </c>
      <c r="AN291" s="52"/>
      <c r="AO291" s="52"/>
      <c r="AP291" s="52"/>
      <c r="AQ291" s="52"/>
      <c r="AR291" s="52"/>
      <c r="AS291" s="52" t="b">
        <v>0</v>
      </c>
      <c r="AT291" s="52"/>
      <c r="AU291" s="52"/>
      <c r="AV291" s="52"/>
      <c r="AW291" s="52"/>
      <c r="AX291" s="52" t="str">
        <f t="shared" si="155"/>
        <v>ملتزم</v>
      </c>
      <c r="AY291" s="54" t="s">
        <v>69</v>
      </c>
      <c r="AZ291" s="43" t="s">
        <v>107</v>
      </c>
      <c r="BA291" s="55"/>
      <c r="BB291" s="55"/>
      <c r="BC291" s="55"/>
      <c r="BD291" s="54"/>
      <c r="BE291" s="68">
        <v>79856</v>
      </c>
      <c r="BF291" s="54"/>
      <c r="BG291" s="54"/>
      <c r="BH291" s="54"/>
      <c r="BI291" s="54" t="s">
        <v>76</v>
      </c>
      <c r="BJ291" s="54">
        <f>(U291+V291+AE291)-BD291-BE291</f>
        <v>-10416</v>
      </c>
      <c r="BK291" s="54"/>
    </row>
    <row r="292" spans="1:63" ht="34.5" hidden="1" customHeight="1" x14ac:dyDescent="0.25">
      <c r="A292" s="35">
        <f t="shared" si="133"/>
        <v>115</v>
      </c>
      <c r="B292" s="35" t="s">
        <v>614</v>
      </c>
      <c r="C292" s="35">
        <v>20461001412</v>
      </c>
      <c r="D292" s="37" t="s">
        <v>106</v>
      </c>
      <c r="E292" s="81" t="b">
        <v>0</v>
      </c>
      <c r="F292" s="81"/>
      <c r="G292" s="65">
        <v>46022</v>
      </c>
      <c r="H292" s="35">
        <v>1</v>
      </c>
      <c r="I292" s="35">
        <v>90</v>
      </c>
      <c r="J292" s="95" t="s">
        <v>611</v>
      </c>
      <c r="K292" s="81">
        <v>7006954502</v>
      </c>
      <c r="L292" s="81">
        <v>500144999</v>
      </c>
      <c r="M292" s="81">
        <v>1004249130</v>
      </c>
      <c r="N292" s="35" t="s">
        <v>64</v>
      </c>
      <c r="O292" s="42" t="s">
        <v>65</v>
      </c>
      <c r="P292" s="35">
        <v>8.6</v>
      </c>
      <c r="Q292" s="35">
        <v>8</v>
      </c>
      <c r="R292" s="35">
        <f t="shared" si="151"/>
        <v>68.8</v>
      </c>
      <c r="S292" s="43">
        <v>30000</v>
      </c>
      <c r="T292" s="44">
        <f t="shared" ref="T292:T313" si="162">S292*10/100</f>
        <v>3000</v>
      </c>
      <c r="U292" s="63">
        <f t="shared" ref="U292:U293" si="163">S292+T292</f>
        <v>33000</v>
      </c>
      <c r="V292" s="46">
        <v>35500</v>
      </c>
      <c r="W292" s="46"/>
      <c r="X292" s="51">
        <v>0</v>
      </c>
      <c r="Y292" s="48">
        <f t="shared" si="153"/>
        <v>0</v>
      </c>
      <c r="Z292" s="49">
        <v>0</v>
      </c>
      <c r="AA292" s="50">
        <f t="shared" si="154"/>
        <v>0</v>
      </c>
      <c r="AB292" s="50"/>
      <c r="AC292" s="51">
        <v>34500</v>
      </c>
      <c r="AD292" s="52">
        <f>S292*1.15-AC292</f>
        <v>0</v>
      </c>
      <c r="AE292" s="53">
        <f>S292*1.15+X292-AB292-AC292</f>
        <v>0</v>
      </c>
      <c r="AF292" s="52" t="b">
        <v>0</v>
      </c>
      <c r="AG292" s="52"/>
      <c r="AH292" s="52"/>
      <c r="AI292" s="52"/>
      <c r="AJ292" s="52"/>
      <c r="AK292" s="52"/>
      <c r="AL292" s="52"/>
      <c r="AM292" s="52" t="b">
        <v>0</v>
      </c>
      <c r="AN292" s="52"/>
      <c r="AO292" s="52"/>
      <c r="AP292" s="52"/>
      <c r="AQ292" s="52"/>
      <c r="AR292" s="52"/>
      <c r="AS292" s="52" t="b">
        <v>0</v>
      </c>
      <c r="AT292" s="52"/>
      <c r="AU292" s="52"/>
      <c r="AV292" s="52"/>
      <c r="AW292" s="52"/>
      <c r="AX292" s="52" t="str">
        <f t="shared" si="155"/>
        <v>ملتزم</v>
      </c>
      <c r="AY292" s="54" t="s">
        <v>77</v>
      </c>
      <c r="AZ292" s="43" t="s">
        <v>107</v>
      </c>
      <c r="BA292" s="70"/>
      <c r="BB292" s="70"/>
      <c r="BC292" s="70"/>
      <c r="BD292" s="54"/>
      <c r="BE292" s="54"/>
      <c r="BF292" s="54"/>
      <c r="BG292" s="54"/>
      <c r="BH292" s="54"/>
      <c r="BI292" s="54" t="s">
        <v>72</v>
      </c>
      <c r="BJ292" s="54">
        <f>(U292+V292+AE292)-BD292-BE292</f>
        <v>68500</v>
      </c>
      <c r="BK292" s="54"/>
    </row>
    <row r="293" spans="1:63" ht="34.5" hidden="1" customHeight="1" x14ac:dyDescent="0.25">
      <c r="A293" s="35">
        <f t="shared" si="133"/>
        <v>116</v>
      </c>
      <c r="B293" s="35" t="s">
        <v>614</v>
      </c>
      <c r="C293" s="35"/>
      <c r="D293" s="37" t="s">
        <v>106</v>
      </c>
      <c r="E293" s="81" t="b">
        <v>0</v>
      </c>
      <c r="F293" s="81"/>
      <c r="G293" s="65">
        <v>46022</v>
      </c>
      <c r="H293" s="35">
        <v>1</v>
      </c>
      <c r="I293" s="35">
        <v>91</v>
      </c>
      <c r="J293" s="93" t="s">
        <v>611</v>
      </c>
      <c r="K293" s="85">
        <v>7006954502</v>
      </c>
      <c r="L293" s="81">
        <v>500144999</v>
      </c>
      <c r="M293" s="81">
        <v>1004249130</v>
      </c>
      <c r="N293" s="35" t="s">
        <v>64</v>
      </c>
      <c r="O293" s="42" t="s">
        <v>65</v>
      </c>
      <c r="P293" s="35">
        <v>6.6</v>
      </c>
      <c r="Q293" s="35">
        <v>8</v>
      </c>
      <c r="R293" s="35">
        <f t="shared" si="151"/>
        <v>52.8</v>
      </c>
      <c r="S293" s="43">
        <v>27000</v>
      </c>
      <c r="T293" s="44">
        <f t="shared" si="162"/>
        <v>2700</v>
      </c>
      <c r="U293" s="63">
        <f t="shared" si="163"/>
        <v>29700</v>
      </c>
      <c r="V293" s="129">
        <v>29700</v>
      </c>
      <c r="W293" s="129"/>
      <c r="X293" s="51">
        <v>0</v>
      </c>
      <c r="Y293" s="48">
        <f t="shared" si="153"/>
        <v>0</v>
      </c>
      <c r="Z293" s="49">
        <v>0</v>
      </c>
      <c r="AA293" s="50">
        <f t="shared" si="154"/>
        <v>0</v>
      </c>
      <c r="AB293" s="50"/>
      <c r="AC293" s="51">
        <v>31050</v>
      </c>
      <c r="AD293" s="52">
        <f>S293*1.15-AC293</f>
        <v>0</v>
      </c>
      <c r="AE293" s="53">
        <f>S293*1.15+X293-AB293-AC293</f>
        <v>0</v>
      </c>
      <c r="AF293" s="52" t="b">
        <v>0</v>
      </c>
      <c r="AG293" s="52"/>
      <c r="AH293" s="52"/>
      <c r="AI293" s="52"/>
      <c r="AJ293" s="52"/>
      <c r="AK293" s="52"/>
      <c r="AL293" s="52"/>
      <c r="AM293" s="52" t="b">
        <v>0</v>
      </c>
      <c r="AN293" s="52"/>
      <c r="AO293" s="52"/>
      <c r="AP293" s="52"/>
      <c r="AQ293" s="52"/>
      <c r="AR293" s="52"/>
      <c r="AS293" s="52" t="b">
        <v>0</v>
      </c>
      <c r="AT293" s="52"/>
      <c r="AU293" s="52"/>
      <c r="AV293" s="52"/>
      <c r="AW293" s="52"/>
      <c r="AX293" s="52" t="str">
        <f t="shared" si="155"/>
        <v>ملتزم</v>
      </c>
      <c r="AY293" s="54" t="s">
        <v>69</v>
      </c>
      <c r="AZ293" s="43" t="s">
        <v>107</v>
      </c>
      <c r="BA293" s="70"/>
      <c r="BB293" s="70"/>
      <c r="BC293" s="70"/>
      <c r="BD293" s="54"/>
      <c r="BE293" s="54"/>
      <c r="BF293" s="54"/>
      <c r="BG293" s="54"/>
      <c r="BH293" s="54"/>
      <c r="BI293" s="54" t="s">
        <v>76</v>
      </c>
      <c r="BJ293" s="54">
        <f>(U293+V293+AE293)-BD293-BE293</f>
        <v>59400</v>
      </c>
      <c r="BK293" s="54"/>
    </row>
    <row r="294" spans="1:63" ht="34.5" hidden="1" customHeight="1" x14ac:dyDescent="0.25">
      <c r="A294" s="35">
        <f t="shared" si="133"/>
        <v>117</v>
      </c>
      <c r="B294" s="35" t="s">
        <v>615</v>
      </c>
      <c r="C294" s="105">
        <v>20166616373</v>
      </c>
      <c r="D294" s="37" t="s">
        <v>106</v>
      </c>
      <c r="E294" s="81" t="b">
        <v>0</v>
      </c>
      <c r="F294" s="81"/>
      <c r="G294" s="113">
        <v>46022</v>
      </c>
      <c r="H294" s="35">
        <v>1</v>
      </c>
      <c r="I294" s="35">
        <v>262</v>
      </c>
      <c r="J294" s="95" t="s">
        <v>616</v>
      </c>
      <c r="K294" s="81">
        <v>7031098689</v>
      </c>
      <c r="L294" s="81">
        <v>502480627</v>
      </c>
      <c r="M294" s="81">
        <v>1035052438</v>
      </c>
      <c r="N294" s="35" t="s">
        <v>73</v>
      </c>
      <c r="O294" s="35" t="s">
        <v>97</v>
      </c>
      <c r="P294" s="35">
        <v>4</v>
      </c>
      <c r="Q294" s="35">
        <v>4</v>
      </c>
      <c r="R294" s="35">
        <f t="shared" si="151"/>
        <v>16</v>
      </c>
      <c r="S294" s="44">
        <v>34000</v>
      </c>
      <c r="T294" s="44">
        <f t="shared" si="162"/>
        <v>3400</v>
      </c>
      <c r="U294" s="63">
        <f>S294+T294+200</f>
        <v>37600</v>
      </c>
      <c r="V294" s="44"/>
      <c r="W294" s="44"/>
      <c r="X294" s="54">
        <v>0</v>
      </c>
      <c r="Y294" s="89">
        <f t="shared" si="153"/>
        <v>0</v>
      </c>
      <c r="Z294" s="91">
        <v>0</v>
      </c>
      <c r="AA294" s="91">
        <f t="shared" si="154"/>
        <v>0</v>
      </c>
      <c r="AB294" s="91"/>
      <c r="AC294" s="54">
        <v>39100</v>
      </c>
      <c r="AD294" s="54">
        <f>S294*1.15-AC294</f>
        <v>0</v>
      </c>
      <c r="AE294" s="53">
        <f>S294*1.15+X294-AB294-AC294</f>
        <v>0</v>
      </c>
      <c r="AF294" s="52" t="b">
        <v>0</v>
      </c>
      <c r="AG294" s="52"/>
      <c r="AH294" s="52"/>
      <c r="AI294" s="52"/>
      <c r="AJ294" s="52"/>
      <c r="AK294" s="52"/>
      <c r="AL294" s="52"/>
      <c r="AM294" s="52" t="b">
        <v>0</v>
      </c>
      <c r="AN294" s="52"/>
      <c r="AO294" s="52"/>
      <c r="AP294" s="52"/>
      <c r="AQ294" s="52"/>
      <c r="AR294" s="52"/>
      <c r="AS294" s="52" t="b">
        <v>0</v>
      </c>
      <c r="AT294" s="54"/>
      <c r="AU294" s="54"/>
      <c r="AV294" s="54"/>
      <c r="AW294" s="54"/>
      <c r="AX294" s="54" t="str">
        <f t="shared" si="155"/>
        <v>ملتزم</v>
      </c>
      <c r="AY294" s="54" t="s">
        <v>69</v>
      </c>
      <c r="AZ294" s="43" t="s">
        <v>107</v>
      </c>
      <c r="BA294" s="55"/>
      <c r="BB294" s="55"/>
      <c r="BC294" s="55"/>
      <c r="BD294" s="54"/>
      <c r="BE294" s="68">
        <v>32430</v>
      </c>
      <c r="BF294" s="54"/>
      <c r="BG294" s="54"/>
      <c r="BH294" s="54"/>
      <c r="BI294" s="54" t="s">
        <v>76</v>
      </c>
      <c r="BJ294" s="54">
        <f>(U294+V294+AE294)-BD294-BE294</f>
        <v>5170</v>
      </c>
      <c r="BK294" s="54" t="s">
        <v>113</v>
      </c>
    </row>
    <row r="295" spans="1:63" ht="34.5" hidden="1" customHeight="1" x14ac:dyDescent="0.25">
      <c r="A295" s="35">
        <f t="shared" si="133"/>
        <v>118</v>
      </c>
      <c r="B295" s="35" t="s">
        <v>617</v>
      </c>
      <c r="C295" s="35"/>
      <c r="D295" s="81" t="s">
        <v>100</v>
      </c>
      <c r="E295" s="81" t="b">
        <v>0</v>
      </c>
      <c r="F295" s="81"/>
      <c r="G295" s="65"/>
      <c r="H295" s="35">
        <v>1</v>
      </c>
      <c r="I295" s="35">
        <v>86</v>
      </c>
      <c r="J295" s="93" t="s">
        <v>451</v>
      </c>
      <c r="K295" s="85">
        <v>7006799881</v>
      </c>
      <c r="L295" s="81">
        <v>507772323</v>
      </c>
      <c r="M295" s="81">
        <v>1005770712</v>
      </c>
      <c r="N295" s="35" t="s">
        <v>64</v>
      </c>
      <c r="O295" s="42" t="s">
        <v>65</v>
      </c>
      <c r="P295" s="35">
        <v>7.8</v>
      </c>
      <c r="Q295" s="35">
        <v>6.7</v>
      </c>
      <c r="R295" s="35">
        <f t="shared" si="151"/>
        <v>52.26</v>
      </c>
      <c r="S295" s="43">
        <v>25000</v>
      </c>
      <c r="T295" s="44">
        <f t="shared" si="162"/>
        <v>2500</v>
      </c>
      <c r="U295" s="63">
        <f>S295+T295</f>
        <v>27500</v>
      </c>
      <c r="V295" s="46">
        <v>33000</v>
      </c>
      <c r="W295" s="46"/>
      <c r="X295" s="51">
        <v>45342</v>
      </c>
      <c r="Y295" s="48">
        <f t="shared" si="153"/>
        <v>39427.826086956527</v>
      </c>
      <c r="Z295" s="49">
        <v>0</v>
      </c>
      <c r="AA295" s="50">
        <f t="shared" si="154"/>
        <v>0</v>
      </c>
      <c r="AB295" s="50"/>
      <c r="AC295" s="51">
        <v>0</v>
      </c>
      <c r="AD295" s="52">
        <f>S295*1.15-AC295</f>
        <v>28749.999999999996</v>
      </c>
      <c r="AE295" s="53">
        <f>S295*1.15+X295-AB295-AC295</f>
        <v>74092</v>
      </c>
      <c r="AF295" s="52" t="b">
        <v>0</v>
      </c>
      <c r="AG295" s="52"/>
      <c r="AH295" s="52"/>
      <c r="AI295" s="52"/>
      <c r="AJ295" s="52"/>
      <c r="AK295" s="52"/>
      <c r="AL295" s="52"/>
      <c r="AM295" s="52" t="b">
        <v>0</v>
      </c>
      <c r="AN295" s="52"/>
      <c r="AO295" s="52"/>
      <c r="AP295" s="52"/>
      <c r="AQ295" s="52"/>
      <c r="AR295" s="52"/>
      <c r="AS295" s="52" t="b">
        <v>0</v>
      </c>
      <c r="AT295" s="52"/>
      <c r="AU295" s="52"/>
      <c r="AV295" s="52"/>
      <c r="AW295" s="52"/>
      <c r="AX295" s="52" t="str">
        <f t="shared" si="155"/>
        <v>غير ملتزم</v>
      </c>
      <c r="AY295" s="54" t="s">
        <v>69</v>
      </c>
      <c r="AZ295" s="43"/>
      <c r="BA295" s="70" t="s">
        <v>75</v>
      </c>
      <c r="BB295" s="70"/>
      <c r="BC295" s="70"/>
      <c r="BD295" s="54"/>
      <c r="BE295" s="54"/>
      <c r="BF295" s="54"/>
      <c r="BG295" s="54"/>
      <c r="BH295" s="54"/>
      <c r="BI295" s="54" t="s">
        <v>76</v>
      </c>
      <c r="BJ295" s="54">
        <f>(U295+V295+AE295)-BD295-BE295</f>
        <v>134592</v>
      </c>
      <c r="BK295" s="54"/>
    </row>
    <row r="296" spans="1:63" ht="34.5" hidden="1" customHeight="1" x14ac:dyDescent="0.25">
      <c r="A296" s="35">
        <f t="shared" si="133"/>
        <v>119</v>
      </c>
      <c r="B296" s="35" t="s">
        <v>618</v>
      </c>
      <c r="C296" s="105">
        <v>20008535427</v>
      </c>
      <c r="D296" s="37" t="s">
        <v>106</v>
      </c>
      <c r="E296" s="81" t="b">
        <v>0</v>
      </c>
      <c r="F296" s="81"/>
      <c r="G296" s="113">
        <v>46022</v>
      </c>
      <c r="H296" s="35">
        <v>2</v>
      </c>
      <c r="I296" s="35" t="s">
        <v>619</v>
      </c>
      <c r="J296" s="81" t="s">
        <v>620</v>
      </c>
      <c r="K296" s="81">
        <v>7036331077</v>
      </c>
      <c r="L296" s="81">
        <v>560717442</v>
      </c>
      <c r="M296" s="81">
        <v>1096922131</v>
      </c>
      <c r="N296" s="35" t="s">
        <v>73</v>
      </c>
      <c r="O296" s="35" t="s">
        <v>97</v>
      </c>
      <c r="P296" s="35">
        <v>4.5</v>
      </c>
      <c r="Q296" s="35">
        <v>4</v>
      </c>
      <c r="R296" s="35">
        <f t="shared" si="151"/>
        <v>18</v>
      </c>
      <c r="S296" s="44">
        <v>60000</v>
      </c>
      <c r="T296" s="44">
        <f t="shared" si="162"/>
        <v>6000</v>
      </c>
      <c r="U296" s="63">
        <f>S296+T296+200</f>
        <v>66200</v>
      </c>
      <c r="V296" s="44"/>
      <c r="W296" s="44"/>
      <c r="X296" s="54">
        <v>0</v>
      </c>
      <c r="Y296" s="89">
        <f t="shared" si="153"/>
        <v>0</v>
      </c>
      <c r="Z296" s="91">
        <v>0</v>
      </c>
      <c r="AA296" s="91">
        <f t="shared" si="154"/>
        <v>0</v>
      </c>
      <c r="AB296" s="91"/>
      <c r="AC296" s="54">
        <v>69000</v>
      </c>
      <c r="AD296" s="54">
        <f>S296*1.15-AC296</f>
        <v>0</v>
      </c>
      <c r="AE296" s="53">
        <f>S296*1.15+X296-AB296-AC296</f>
        <v>0</v>
      </c>
      <c r="AF296" s="52" t="b">
        <v>0</v>
      </c>
      <c r="AG296" s="52"/>
      <c r="AH296" s="52"/>
      <c r="AI296" s="52"/>
      <c r="AJ296" s="52"/>
      <c r="AK296" s="52"/>
      <c r="AL296" s="52"/>
      <c r="AM296" s="52" t="b">
        <v>0</v>
      </c>
      <c r="AN296" s="52"/>
      <c r="AO296" s="52"/>
      <c r="AP296" s="52"/>
      <c r="AQ296" s="52"/>
      <c r="AR296" s="52"/>
      <c r="AS296" s="52" t="b">
        <v>0</v>
      </c>
      <c r="AT296" s="54"/>
      <c r="AU296" s="54"/>
      <c r="AV296" s="54"/>
      <c r="AW296" s="54"/>
      <c r="AX296" s="54" t="str">
        <f t="shared" si="155"/>
        <v>ملتزم</v>
      </c>
      <c r="AY296" s="54" t="s">
        <v>69</v>
      </c>
      <c r="AZ296" s="43" t="s">
        <v>107</v>
      </c>
      <c r="BA296" s="55"/>
      <c r="BB296" s="55"/>
      <c r="BC296" s="55"/>
      <c r="BD296" s="54"/>
      <c r="BE296" s="68">
        <v>38070</v>
      </c>
      <c r="BF296" s="54"/>
      <c r="BG296" s="54"/>
      <c r="BH296" s="54"/>
      <c r="BI296" s="54" t="s">
        <v>112</v>
      </c>
      <c r="BJ296" s="54">
        <f>(U296+V296+AE296)-BD296-BE296</f>
        <v>28130</v>
      </c>
      <c r="BK296" s="54" t="s">
        <v>113</v>
      </c>
    </row>
    <row r="297" spans="1:63" ht="34.5" hidden="1" customHeight="1" x14ac:dyDescent="0.25">
      <c r="A297" s="35">
        <f t="shared" si="133"/>
        <v>120</v>
      </c>
      <c r="B297" s="35" t="s">
        <v>621</v>
      </c>
      <c r="C297" s="35"/>
      <c r="D297" s="81" t="s">
        <v>100</v>
      </c>
      <c r="E297" s="81" t="b">
        <v>0</v>
      </c>
      <c r="F297" s="81"/>
      <c r="G297" s="65"/>
      <c r="H297" s="35">
        <v>1</v>
      </c>
      <c r="I297" s="35">
        <v>124</v>
      </c>
      <c r="J297" s="95" t="s">
        <v>622</v>
      </c>
      <c r="K297" s="81">
        <v>7007567741</v>
      </c>
      <c r="L297" s="81">
        <v>505612808</v>
      </c>
      <c r="M297" s="81">
        <v>1004405864</v>
      </c>
      <c r="N297" s="35" t="s">
        <v>64</v>
      </c>
      <c r="O297" s="42" t="s">
        <v>84</v>
      </c>
      <c r="P297" s="35">
        <v>9.9</v>
      </c>
      <c r="Q297" s="35">
        <v>8.3000000000000007</v>
      </c>
      <c r="R297" s="35">
        <f t="shared" si="151"/>
        <v>82.170000000000016</v>
      </c>
      <c r="S297" s="43">
        <v>28000</v>
      </c>
      <c r="T297" s="44">
        <f t="shared" si="162"/>
        <v>2800</v>
      </c>
      <c r="U297" s="63">
        <f t="shared" ref="U297:U298" si="164">S297+T297</f>
        <v>30800</v>
      </c>
      <c r="V297" s="46">
        <v>36977</v>
      </c>
      <c r="W297" s="46"/>
      <c r="X297" s="82"/>
      <c r="Y297" s="48">
        <f t="shared" si="153"/>
        <v>0</v>
      </c>
      <c r="Z297" s="83">
        <v>0</v>
      </c>
      <c r="AA297" s="50">
        <f t="shared" si="154"/>
        <v>0</v>
      </c>
      <c r="AB297" s="50"/>
      <c r="AC297" s="82">
        <v>32200</v>
      </c>
      <c r="AD297" s="52">
        <f>S297*1.15-AC297</f>
        <v>0</v>
      </c>
      <c r="AE297" s="53">
        <f>S297*1.15+X297-AB297-AC297</f>
        <v>0</v>
      </c>
      <c r="AF297" s="52" t="b">
        <v>0</v>
      </c>
      <c r="AG297" s="52" t="s">
        <v>67</v>
      </c>
      <c r="AH297" s="52">
        <v>23295</v>
      </c>
      <c r="AI297" s="54" t="s">
        <v>136</v>
      </c>
      <c r="AJ297" s="52" t="s">
        <v>136</v>
      </c>
      <c r="AK297" s="52" t="s">
        <v>151</v>
      </c>
      <c r="AL297" s="52"/>
      <c r="AM297" s="52" t="b">
        <v>0</v>
      </c>
      <c r="AN297" s="117">
        <v>45971</v>
      </c>
      <c r="AO297" s="52">
        <v>23295</v>
      </c>
      <c r="AP297" s="52"/>
      <c r="AQ297" s="52"/>
      <c r="AR297" s="52"/>
      <c r="AS297" s="52" t="b">
        <v>0</v>
      </c>
      <c r="AT297" s="52"/>
      <c r="AU297" s="52"/>
      <c r="AV297" s="52"/>
      <c r="AW297" s="52"/>
      <c r="AX297" s="52" t="str">
        <f t="shared" si="155"/>
        <v>ملتزم</v>
      </c>
      <c r="AY297" s="54" t="s">
        <v>77</v>
      </c>
      <c r="AZ297" s="43" t="s">
        <v>70</v>
      </c>
      <c r="BA297" s="55" t="s">
        <v>75</v>
      </c>
      <c r="BB297" s="55"/>
      <c r="BC297" s="55"/>
      <c r="BD297" s="54"/>
      <c r="BE297" s="54"/>
      <c r="BF297" s="54"/>
      <c r="BG297" s="54"/>
      <c r="BH297" s="54"/>
      <c r="BI297" s="54" t="s">
        <v>72</v>
      </c>
      <c r="BJ297" s="54">
        <f>(U297+V297+AE297)-BD297-BE297</f>
        <v>67777</v>
      </c>
      <c r="BK297" s="54"/>
    </row>
    <row r="298" spans="1:63" ht="34.5" hidden="1" customHeight="1" x14ac:dyDescent="0.25">
      <c r="A298" s="35">
        <f t="shared" si="133"/>
        <v>121</v>
      </c>
      <c r="B298" s="57" t="s">
        <v>623</v>
      </c>
      <c r="C298" s="57"/>
      <c r="D298" s="37" t="s">
        <v>106</v>
      </c>
      <c r="E298" s="81" t="b">
        <v>0</v>
      </c>
      <c r="F298" s="81"/>
      <c r="G298" s="65">
        <v>46022</v>
      </c>
      <c r="H298" s="42">
        <v>1</v>
      </c>
      <c r="I298" s="42">
        <v>8</v>
      </c>
      <c r="J298" s="147" t="s">
        <v>624</v>
      </c>
      <c r="K298" s="61">
        <v>7014993567</v>
      </c>
      <c r="L298" s="61">
        <v>564956906</v>
      </c>
      <c r="M298" s="61">
        <v>1102735790</v>
      </c>
      <c r="N298" s="35" t="s">
        <v>73</v>
      </c>
      <c r="O298" s="42" t="s">
        <v>74</v>
      </c>
      <c r="P298" s="35">
        <v>6</v>
      </c>
      <c r="Q298" s="35">
        <v>4.3</v>
      </c>
      <c r="R298" s="35">
        <f t="shared" si="151"/>
        <v>25.799999999999997</v>
      </c>
      <c r="S298" s="62">
        <v>18000</v>
      </c>
      <c r="T298" s="44">
        <f t="shared" si="162"/>
        <v>1800</v>
      </c>
      <c r="U298" s="63">
        <f t="shared" si="164"/>
        <v>19800</v>
      </c>
      <c r="V298" s="64"/>
      <c r="W298" s="64"/>
      <c r="X298" s="52">
        <v>11787.5</v>
      </c>
      <c r="Y298" s="48">
        <f t="shared" si="153"/>
        <v>10250</v>
      </c>
      <c r="Z298" s="69">
        <v>0</v>
      </c>
      <c r="AA298" s="50">
        <f t="shared" si="154"/>
        <v>0</v>
      </c>
      <c r="AB298" s="50">
        <v>0</v>
      </c>
      <c r="AC298" s="52">
        <v>32487.5</v>
      </c>
      <c r="AD298" s="52">
        <f>S298*1.15-AC298</f>
        <v>-11787.5</v>
      </c>
      <c r="AE298" s="53">
        <f>S298*1.15+X298-AB298-AC298</f>
        <v>0</v>
      </c>
      <c r="AF298" s="52" t="b">
        <v>0</v>
      </c>
      <c r="AG298" s="52"/>
      <c r="AH298" s="52"/>
      <c r="AI298" s="52"/>
      <c r="AJ298" s="52"/>
      <c r="AK298" s="52"/>
      <c r="AL298" s="52"/>
      <c r="AM298" s="52" t="b">
        <v>0</v>
      </c>
      <c r="AN298" s="52"/>
      <c r="AO298" s="52"/>
      <c r="AP298" s="52"/>
      <c r="AQ298" s="52"/>
      <c r="AR298" s="52"/>
      <c r="AS298" s="52" t="b">
        <v>0</v>
      </c>
      <c r="AT298" s="52"/>
      <c r="AU298" s="52"/>
      <c r="AV298" s="52"/>
      <c r="AW298" s="52"/>
      <c r="AX298" s="52" t="str">
        <f t="shared" si="155"/>
        <v>ملتزم</v>
      </c>
      <c r="AY298" s="54" t="s">
        <v>77</v>
      </c>
      <c r="AZ298" s="43" t="s">
        <v>107</v>
      </c>
      <c r="BA298" s="55"/>
      <c r="BB298" s="55"/>
      <c r="BC298" s="55"/>
      <c r="BD298" s="54"/>
      <c r="BE298" s="68">
        <v>11500</v>
      </c>
      <c r="BF298" s="54"/>
      <c r="BG298" s="54"/>
      <c r="BH298" s="54"/>
      <c r="BI298" s="54" t="s">
        <v>76</v>
      </c>
      <c r="BJ298" s="54">
        <f>(U298+V298+AE298)-BD298-BE298</f>
        <v>8300</v>
      </c>
      <c r="BK298" s="54"/>
    </row>
    <row r="299" spans="1:63" ht="34.5" hidden="1" customHeight="1" x14ac:dyDescent="0.25">
      <c r="A299" s="35">
        <f t="shared" si="133"/>
        <v>122</v>
      </c>
      <c r="B299" s="35" t="s">
        <v>625</v>
      </c>
      <c r="C299" s="105">
        <v>20465293708</v>
      </c>
      <c r="D299" s="37" t="s">
        <v>106</v>
      </c>
      <c r="E299" s="81" t="b">
        <v>0</v>
      </c>
      <c r="F299" s="81"/>
      <c r="G299" s="113">
        <v>46022</v>
      </c>
      <c r="H299" s="35">
        <v>1</v>
      </c>
      <c r="I299" s="35">
        <v>292</v>
      </c>
      <c r="J299" s="95" t="s">
        <v>626</v>
      </c>
      <c r="K299" s="81">
        <v>7014993568</v>
      </c>
      <c r="L299" s="81">
        <v>564956906</v>
      </c>
      <c r="M299" s="81">
        <v>1102735790</v>
      </c>
      <c r="N299" s="35" t="s">
        <v>73</v>
      </c>
      <c r="O299" s="35" t="s">
        <v>97</v>
      </c>
      <c r="P299" s="35">
        <v>5</v>
      </c>
      <c r="Q299" s="35">
        <v>3.6</v>
      </c>
      <c r="R299" s="35">
        <f t="shared" si="151"/>
        <v>18</v>
      </c>
      <c r="S299" s="44">
        <v>34000</v>
      </c>
      <c r="T299" s="44">
        <f t="shared" si="162"/>
        <v>3400</v>
      </c>
      <c r="U299" s="63">
        <f>S299+T299+200</f>
        <v>37600</v>
      </c>
      <c r="V299" s="44"/>
      <c r="W299" s="44"/>
      <c r="X299" s="54">
        <v>0</v>
      </c>
      <c r="Y299" s="89">
        <f t="shared" si="153"/>
        <v>0</v>
      </c>
      <c r="Z299" s="91">
        <v>0</v>
      </c>
      <c r="AA299" s="91">
        <f t="shared" si="154"/>
        <v>0</v>
      </c>
      <c r="AB299" s="91"/>
      <c r="AC299" s="54">
        <v>39100</v>
      </c>
      <c r="AD299" s="54">
        <f>S299*1.15-AC299</f>
        <v>0</v>
      </c>
      <c r="AE299" s="53">
        <f>S299*1.15+X299-AB299-AC299</f>
        <v>0</v>
      </c>
      <c r="AF299" s="52" t="b">
        <v>0</v>
      </c>
      <c r="AG299" s="52"/>
      <c r="AH299" s="52"/>
      <c r="AI299" s="52"/>
      <c r="AJ299" s="52"/>
      <c r="AK299" s="52"/>
      <c r="AL299" s="52"/>
      <c r="AM299" s="52" t="b">
        <v>0</v>
      </c>
      <c r="AN299" s="52"/>
      <c r="AO299" s="52"/>
      <c r="AP299" s="52"/>
      <c r="AQ299" s="52"/>
      <c r="AR299" s="52"/>
      <c r="AS299" s="52" t="b">
        <v>0</v>
      </c>
      <c r="AT299" s="54"/>
      <c r="AU299" s="54"/>
      <c r="AV299" s="54"/>
      <c r="AW299" s="54"/>
      <c r="AX299" s="54" t="str">
        <f t="shared" si="155"/>
        <v>ملتزم</v>
      </c>
      <c r="AY299" s="54" t="s">
        <v>69</v>
      </c>
      <c r="AZ299" s="43" t="s">
        <v>107</v>
      </c>
      <c r="BA299" s="55"/>
      <c r="BB299" s="55"/>
      <c r="BC299" s="55"/>
      <c r="BD299" s="54"/>
      <c r="BE299" s="68">
        <v>32430</v>
      </c>
      <c r="BF299" s="54"/>
      <c r="BG299" s="54"/>
      <c r="BH299" s="54"/>
      <c r="BI299" s="54" t="s">
        <v>112</v>
      </c>
      <c r="BJ299" s="54">
        <f>(U299+V299+AE299)-BD299-BE299</f>
        <v>5170</v>
      </c>
      <c r="BK299" s="54" t="s">
        <v>113</v>
      </c>
    </row>
    <row r="300" spans="1:63" ht="34.5" hidden="1" customHeight="1" x14ac:dyDescent="0.25">
      <c r="A300" s="35">
        <f t="shared" si="133"/>
        <v>123</v>
      </c>
      <c r="B300" s="35" t="s">
        <v>627</v>
      </c>
      <c r="C300" s="105">
        <v>20074874703</v>
      </c>
      <c r="D300" s="37" t="s">
        <v>106</v>
      </c>
      <c r="E300" s="81" t="b">
        <v>0</v>
      </c>
      <c r="F300" s="81"/>
      <c r="G300" s="65">
        <v>46022</v>
      </c>
      <c r="H300" s="35">
        <v>1</v>
      </c>
      <c r="I300" s="35">
        <v>436</v>
      </c>
      <c r="J300" s="95" t="s">
        <v>449</v>
      </c>
      <c r="K300" s="81">
        <v>4030454280</v>
      </c>
      <c r="L300" s="81">
        <v>535511394</v>
      </c>
      <c r="M300" s="81">
        <v>1131896993</v>
      </c>
      <c r="N300" s="35" t="s">
        <v>73</v>
      </c>
      <c r="O300" s="35" t="s">
        <v>97</v>
      </c>
      <c r="P300" s="35">
        <v>5.0999999999999996</v>
      </c>
      <c r="Q300" s="35">
        <v>3.8</v>
      </c>
      <c r="R300" s="35">
        <f t="shared" si="151"/>
        <v>19.38</v>
      </c>
      <c r="S300" s="43">
        <v>34000</v>
      </c>
      <c r="T300" s="44">
        <f t="shared" si="162"/>
        <v>3400</v>
      </c>
      <c r="U300" s="63">
        <f t="shared" ref="U300:U304" si="165">S300+T300</f>
        <v>37400</v>
      </c>
      <c r="V300" s="106"/>
      <c r="W300" s="106"/>
      <c r="X300" s="45">
        <v>50179</v>
      </c>
      <c r="Y300" s="48">
        <f t="shared" si="153"/>
        <v>43633.913043478264</v>
      </c>
      <c r="Z300" s="50">
        <v>0</v>
      </c>
      <c r="AA300" s="50">
        <f t="shared" si="154"/>
        <v>0</v>
      </c>
      <c r="AB300" s="50">
        <v>37585</v>
      </c>
      <c r="AC300" s="52">
        <v>0</v>
      </c>
      <c r="AD300" s="52">
        <f>S300*1.15-AC300</f>
        <v>39100</v>
      </c>
      <c r="AE300" s="53">
        <f>S300*1.15+X300-AB300-AC300</f>
        <v>51694</v>
      </c>
      <c r="AF300" s="52" t="b">
        <v>0</v>
      </c>
      <c r="AG300" s="52"/>
      <c r="AH300" s="52"/>
      <c r="AI300" s="52"/>
      <c r="AJ300" s="52"/>
      <c r="AK300" s="52"/>
      <c r="AL300" s="52"/>
      <c r="AM300" s="52" t="b">
        <v>0</v>
      </c>
      <c r="AN300" s="52"/>
      <c r="AO300" s="52"/>
      <c r="AP300" s="52"/>
      <c r="AQ300" s="52"/>
      <c r="AR300" s="52"/>
      <c r="AS300" s="52" t="b">
        <v>0</v>
      </c>
      <c r="AT300" s="52"/>
      <c r="AU300" s="52"/>
      <c r="AV300" s="52"/>
      <c r="AW300" s="52"/>
      <c r="AX300" s="52" t="str">
        <f t="shared" si="155"/>
        <v>غير ملتزم</v>
      </c>
      <c r="AY300" s="54" t="s">
        <v>77</v>
      </c>
      <c r="AZ300" s="43" t="s">
        <v>107</v>
      </c>
      <c r="BA300" s="70"/>
      <c r="BB300" s="70"/>
      <c r="BC300" s="70"/>
      <c r="BD300" s="54"/>
      <c r="BE300" s="68">
        <v>0</v>
      </c>
      <c r="BF300" s="54"/>
      <c r="BG300" s="54"/>
      <c r="BH300" s="54"/>
      <c r="BI300" s="54" t="s">
        <v>325</v>
      </c>
      <c r="BJ300" s="54">
        <f>(U300+V300+AE300)-BD300-BE300</f>
        <v>89094</v>
      </c>
      <c r="BK300" s="54"/>
    </row>
    <row r="301" spans="1:63" ht="34.5" hidden="1" customHeight="1" x14ac:dyDescent="0.25">
      <c r="A301" s="35">
        <f t="shared" si="133"/>
        <v>124</v>
      </c>
      <c r="B301" s="36" t="s">
        <v>628</v>
      </c>
      <c r="C301" s="35"/>
      <c r="D301" s="81" t="s">
        <v>94</v>
      </c>
      <c r="E301" s="81" t="b">
        <v>0</v>
      </c>
      <c r="F301" s="81"/>
      <c r="G301" s="65"/>
      <c r="H301" s="35">
        <v>1</v>
      </c>
      <c r="I301" s="35">
        <v>105</v>
      </c>
      <c r="J301" s="95" t="s">
        <v>629</v>
      </c>
      <c r="K301" s="81">
        <v>7022039601</v>
      </c>
      <c r="L301" s="81">
        <v>545930668</v>
      </c>
      <c r="M301" s="81">
        <v>1078496088</v>
      </c>
      <c r="N301" s="35" t="s">
        <v>64</v>
      </c>
      <c r="O301" s="42" t="s">
        <v>65</v>
      </c>
      <c r="P301" s="35">
        <v>7.8</v>
      </c>
      <c r="Q301" s="35">
        <v>6.7</v>
      </c>
      <c r="R301" s="35">
        <f t="shared" si="151"/>
        <v>52.26</v>
      </c>
      <c r="S301" s="43">
        <v>20800</v>
      </c>
      <c r="T301" s="44">
        <f t="shared" si="162"/>
        <v>2080</v>
      </c>
      <c r="U301" s="63">
        <f t="shared" si="165"/>
        <v>22880</v>
      </c>
      <c r="V301" s="46">
        <v>33000</v>
      </c>
      <c r="W301" s="46"/>
      <c r="X301" s="47">
        <v>58574</v>
      </c>
      <c r="Y301" s="48">
        <f t="shared" si="153"/>
        <v>50933.913043478264</v>
      </c>
      <c r="Z301" s="49">
        <v>0</v>
      </c>
      <c r="AA301" s="50">
        <f t="shared" si="154"/>
        <v>0</v>
      </c>
      <c r="AB301" s="50"/>
      <c r="AC301" s="51">
        <v>0</v>
      </c>
      <c r="AD301" s="52">
        <f>S301*1.15-AC301</f>
        <v>23919.999999999996</v>
      </c>
      <c r="AE301" s="53">
        <f>S301*1.15+X301-AB301-AC301</f>
        <v>82494</v>
      </c>
      <c r="AF301" s="52" t="b">
        <v>0</v>
      </c>
      <c r="AG301" s="52"/>
      <c r="AH301" s="52"/>
      <c r="AI301" s="52"/>
      <c r="AJ301" s="52"/>
      <c r="AK301" s="52"/>
      <c r="AL301" s="52"/>
      <c r="AM301" s="52" t="b">
        <v>0</v>
      </c>
      <c r="AN301" s="52"/>
      <c r="AO301" s="52"/>
      <c r="AP301" s="52"/>
      <c r="AQ301" s="52"/>
      <c r="AR301" s="52"/>
      <c r="AS301" s="52" t="b">
        <v>0</v>
      </c>
      <c r="AT301" s="52"/>
      <c r="AU301" s="52"/>
      <c r="AV301" s="52"/>
      <c r="AW301" s="52"/>
      <c r="AX301" s="52" t="str">
        <f t="shared" si="155"/>
        <v>غير ملتزم</v>
      </c>
      <c r="AY301" s="54" t="s">
        <v>69</v>
      </c>
      <c r="AZ301" s="43" t="s">
        <v>103</v>
      </c>
      <c r="BA301" s="70" t="s">
        <v>82</v>
      </c>
      <c r="BB301" s="70"/>
      <c r="BC301" s="70"/>
      <c r="BD301" s="54"/>
      <c r="BE301" s="54"/>
      <c r="BF301" s="54"/>
      <c r="BG301" s="54"/>
      <c r="BH301" s="54"/>
      <c r="BI301" s="54" t="s">
        <v>76</v>
      </c>
      <c r="BJ301" s="54">
        <f>(U301+V301+AE301)-BD301-BE301</f>
        <v>138374</v>
      </c>
      <c r="BK301" s="54"/>
    </row>
    <row r="302" spans="1:63" ht="34.5" hidden="1" customHeight="1" x14ac:dyDescent="0.25">
      <c r="A302" s="35">
        <f t="shared" si="133"/>
        <v>125</v>
      </c>
      <c r="B302" s="36" t="s">
        <v>630</v>
      </c>
      <c r="C302" s="35"/>
      <c r="D302" s="81" t="s">
        <v>94</v>
      </c>
      <c r="E302" s="81" t="b">
        <v>0</v>
      </c>
      <c r="F302" s="81"/>
      <c r="G302" s="65"/>
      <c r="H302" s="35">
        <v>1</v>
      </c>
      <c r="I302" s="35">
        <v>104</v>
      </c>
      <c r="J302" s="84" t="s">
        <v>631</v>
      </c>
      <c r="K302" s="81">
        <v>7013889063</v>
      </c>
      <c r="L302" s="81">
        <v>500596736</v>
      </c>
      <c r="M302" s="81">
        <v>1002962924</v>
      </c>
      <c r="N302" s="35" t="s">
        <v>64</v>
      </c>
      <c r="O302" s="42" t="s">
        <v>65</v>
      </c>
      <c r="P302" s="35">
        <v>12.4</v>
      </c>
      <c r="Q302" s="35">
        <v>6.6</v>
      </c>
      <c r="R302" s="35">
        <f t="shared" si="151"/>
        <v>81.84</v>
      </c>
      <c r="S302" s="43">
        <v>28000</v>
      </c>
      <c r="T302" s="44">
        <f t="shared" si="162"/>
        <v>2800</v>
      </c>
      <c r="U302" s="63">
        <f t="shared" si="165"/>
        <v>30800</v>
      </c>
      <c r="V302" s="46">
        <v>40920</v>
      </c>
      <c r="W302" s="46"/>
      <c r="X302" s="82">
        <v>138516.66</v>
      </c>
      <c r="Y302" s="48">
        <f t="shared" si="153"/>
        <v>120449.2695652174</v>
      </c>
      <c r="Z302" s="83">
        <v>0</v>
      </c>
      <c r="AA302" s="69">
        <v>0</v>
      </c>
      <c r="AB302" s="69">
        <v>0</v>
      </c>
      <c r="AC302" s="82">
        <v>0</v>
      </c>
      <c r="AD302" s="52">
        <v>32200</v>
      </c>
      <c r="AE302" s="53">
        <f>S302*1.15+X302-AB302-AC302</f>
        <v>170716.66</v>
      </c>
      <c r="AF302" s="52" t="b">
        <v>0</v>
      </c>
      <c r="AG302" s="52"/>
      <c r="AH302" s="52"/>
      <c r="AI302" s="52"/>
      <c r="AJ302" s="52"/>
      <c r="AK302" s="52"/>
      <c r="AL302" s="52"/>
      <c r="AM302" s="52" t="b">
        <v>0</v>
      </c>
      <c r="AN302" s="52"/>
      <c r="AO302" s="52"/>
      <c r="AP302" s="52"/>
      <c r="AQ302" s="52"/>
      <c r="AR302" s="52"/>
      <c r="AS302" s="52" t="b">
        <v>0</v>
      </c>
      <c r="AT302" s="52"/>
      <c r="AU302" s="52"/>
      <c r="AV302" s="52"/>
      <c r="AW302" s="52" t="s">
        <v>246</v>
      </c>
      <c r="AX302" s="52" t="str">
        <f t="shared" si="155"/>
        <v>غير ملتزم</v>
      </c>
      <c r="AY302" s="54" t="s">
        <v>77</v>
      </c>
      <c r="AZ302" s="43" t="s">
        <v>103</v>
      </c>
      <c r="BA302" s="55" t="s">
        <v>632</v>
      </c>
      <c r="BB302" s="55"/>
      <c r="BC302" s="55"/>
      <c r="BD302" s="54"/>
      <c r="BE302" s="54"/>
      <c r="BF302" s="54"/>
      <c r="BG302" s="54"/>
      <c r="BH302" s="54"/>
      <c r="BI302" s="54"/>
      <c r="BJ302" s="54">
        <f>(U302+V302+AE302)-BD302-BE302</f>
        <v>242436.66</v>
      </c>
      <c r="BK302" s="54"/>
    </row>
    <row r="303" spans="1:63" ht="34.5" hidden="1" customHeight="1" x14ac:dyDescent="0.25">
      <c r="A303" s="35">
        <f t="shared" si="133"/>
        <v>126</v>
      </c>
      <c r="B303" s="35" t="s">
        <v>633</v>
      </c>
      <c r="C303" s="105"/>
      <c r="D303" s="81" t="s">
        <v>100</v>
      </c>
      <c r="E303" s="81" t="b">
        <v>0</v>
      </c>
      <c r="F303" s="81"/>
      <c r="G303" s="65"/>
      <c r="H303" s="35">
        <v>1</v>
      </c>
      <c r="I303" s="35">
        <v>464</v>
      </c>
      <c r="J303" s="93" t="s">
        <v>634</v>
      </c>
      <c r="K303" s="85">
        <v>7006835941</v>
      </c>
      <c r="L303" s="81">
        <v>533619337</v>
      </c>
      <c r="M303" s="81">
        <v>1000242451</v>
      </c>
      <c r="N303" s="35" t="s">
        <v>73</v>
      </c>
      <c r="O303" s="35" t="s">
        <v>97</v>
      </c>
      <c r="P303" s="35">
        <v>4</v>
      </c>
      <c r="Q303" s="35">
        <v>4</v>
      </c>
      <c r="R303" s="35">
        <f t="shared" si="151"/>
        <v>16</v>
      </c>
      <c r="S303" s="43">
        <v>30000</v>
      </c>
      <c r="T303" s="44">
        <f t="shared" si="162"/>
        <v>3000</v>
      </c>
      <c r="U303" s="63">
        <f t="shared" si="165"/>
        <v>33000</v>
      </c>
      <c r="V303" s="106"/>
      <c r="W303" s="106"/>
      <c r="X303" s="45">
        <v>31025</v>
      </c>
      <c r="Y303" s="48">
        <f t="shared" si="153"/>
        <v>26978.26086956522</v>
      </c>
      <c r="Z303" s="50">
        <v>0</v>
      </c>
      <c r="AA303" s="50">
        <f t="shared" ref="AA303:AA305" si="166">Z303/1.15</f>
        <v>0</v>
      </c>
      <c r="AB303" s="50">
        <v>5000</v>
      </c>
      <c r="AC303" s="52">
        <v>0</v>
      </c>
      <c r="AD303" s="52">
        <f>S303*1.15-AC303</f>
        <v>34500</v>
      </c>
      <c r="AE303" s="53">
        <f>S303*1.15+X303-AB303-AC303</f>
        <v>60525</v>
      </c>
      <c r="AF303" s="52" t="b">
        <v>0</v>
      </c>
      <c r="AG303" s="52"/>
      <c r="AH303" s="52"/>
      <c r="AI303" s="52"/>
      <c r="AJ303" s="52"/>
      <c r="AK303" s="52"/>
      <c r="AL303" s="52"/>
      <c r="AM303" s="52" t="b">
        <v>0</v>
      </c>
      <c r="AN303" s="52"/>
      <c r="AO303" s="52"/>
      <c r="AP303" s="52"/>
      <c r="AQ303" s="52"/>
      <c r="AR303" s="52"/>
      <c r="AS303" s="52" t="b">
        <v>0</v>
      </c>
      <c r="AT303" s="52"/>
      <c r="AU303" s="52"/>
      <c r="AV303" s="52"/>
      <c r="AW303" s="52"/>
      <c r="AX303" s="52" t="str">
        <f t="shared" si="155"/>
        <v>غير ملتزم</v>
      </c>
      <c r="AY303" s="54" t="s">
        <v>140</v>
      </c>
      <c r="AZ303" s="43" t="s">
        <v>70</v>
      </c>
      <c r="BA303" s="55" t="s">
        <v>75</v>
      </c>
      <c r="BB303" s="55"/>
      <c r="BC303" s="55"/>
      <c r="BD303" s="54"/>
      <c r="BE303" s="68">
        <v>0</v>
      </c>
      <c r="BF303" s="54"/>
      <c r="BG303" s="54"/>
      <c r="BH303" s="54"/>
      <c r="BI303" s="54" t="s">
        <v>76</v>
      </c>
      <c r="BJ303" s="54">
        <f>(U303+V303+AE303)-BD303-BE303</f>
        <v>93525</v>
      </c>
      <c r="BK303" s="54"/>
    </row>
    <row r="304" spans="1:63" ht="42" hidden="1" customHeight="1" x14ac:dyDescent="0.25">
      <c r="A304" s="35">
        <f t="shared" si="133"/>
        <v>127</v>
      </c>
      <c r="B304" s="35" t="s">
        <v>635</v>
      </c>
      <c r="C304" s="105">
        <v>20377394384</v>
      </c>
      <c r="D304" s="37" t="s">
        <v>106</v>
      </c>
      <c r="E304" s="81" t="b">
        <v>0</v>
      </c>
      <c r="F304" s="81"/>
      <c r="G304" s="65">
        <v>46022</v>
      </c>
      <c r="H304" s="35">
        <v>4</v>
      </c>
      <c r="I304" s="35" t="s">
        <v>636</v>
      </c>
      <c r="J304" s="95" t="s">
        <v>217</v>
      </c>
      <c r="K304" s="87">
        <v>7011278418</v>
      </c>
      <c r="L304" s="87">
        <v>505606994</v>
      </c>
      <c r="M304" s="81">
        <v>1017439785</v>
      </c>
      <c r="N304" s="35" t="s">
        <v>73</v>
      </c>
      <c r="O304" s="35" t="s">
        <v>97</v>
      </c>
      <c r="P304" s="35">
        <v>10.3</v>
      </c>
      <c r="Q304" s="35">
        <v>8</v>
      </c>
      <c r="R304" s="35">
        <f t="shared" si="151"/>
        <v>82.4</v>
      </c>
      <c r="S304" s="43">
        <v>120000</v>
      </c>
      <c r="T304" s="44">
        <f t="shared" si="162"/>
        <v>12000</v>
      </c>
      <c r="U304" s="63">
        <f t="shared" si="165"/>
        <v>132000</v>
      </c>
      <c r="V304" s="106"/>
      <c r="W304" s="106"/>
      <c r="X304" s="52">
        <v>0</v>
      </c>
      <c r="Y304" s="48">
        <f t="shared" si="153"/>
        <v>0</v>
      </c>
      <c r="Z304" s="50">
        <v>0</v>
      </c>
      <c r="AA304" s="50">
        <f t="shared" si="166"/>
        <v>0</v>
      </c>
      <c r="AB304" s="50"/>
      <c r="AC304" s="52">
        <v>138000</v>
      </c>
      <c r="AD304" s="52">
        <f>S304*1.15-AC304</f>
        <v>0</v>
      </c>
      <c r="AE304" s="53">
        <f>S304*1.15+X304-AB304-AC304</f>
        <v>0</v>
      </c>
      <c r="AF304" s="52" t="b">
        <v>0</v>
      </c>
      <c r="AG304" s="52"/>
      <c r="AH304" s="52"/>
      <c r="AI304" s="52"/>
      <c r="AJ304" s="52"/>
      <c r="AK304" s="52"/>
      <c r="AL304" s="52"/>
      <c r="AM304" s="52" t="b">
        <v>0</v>
      </c>
      <c r="AN304" s="52"/>
      <c r="AO304" s="52"/>
      <c r="AP304" s="52"/>
      <c r="AQ304" s="52"/>
      <c r="AR304" s="52"/>
      <c r="AS304" s="52" t="b">
        <v>0</v>
      </c>
      <c r="AT304" s="52"/>
      <c r="AU304" s="52"/>
      <c r="AV304" s="52"/>
      <c r="AW304" s="52"/>
      <c r="AX304" s="52" t="str">
        <f t="shared" si="155"/>
        <v>ملتزم</v>
      </c>
      <c r="AY304" s="54" t="s">
        <v>69</v>
      </c>
      <c r="AZ304" s="43" t="s">
        <v>107</v>
      </c>
      <c r="BA304" s="55"/>
      <c r="BB304" s="55"/>
      <c r="BC304" s="55"/>
      <c r="BD304" s="54"/>
      <c r="BE304" s="68">
        <v>118023</v>
      </c>
      <c r="BF304" s="54"/>
      <c r="BG304" s="54"/>
      <c r="BH304" s="54"/>
      <c r="BI304" s="54" t="s">
        <v>76</v>
      </c>
      <c r="BJ304" s="54">
        <f>(U304+V304+AE304)-BD304-BE304</f>
        <v>13977</v>
      </c>
      <c r="BK304" s="54" t="s">
        <v>113</v>
      </c>
    </row>
    <row r="305" spans="1:63" ht="34.5" hidden="1" customHeight="1" x14ac:dyDescent="0.25">
      <c r="A305" s="35">
        <f t="shared" si="133"/>
        <v>128</v>
      </c>
      <c r="B305" s="35" t="s">
        <v>637</v>
      </c>
      <c r="C305" s="105">
        <v>20367617719</v>
      </c>
      <c r="D305" s="37" t="s">
        <v>106</v>
      </c>
      <c r="E305" s="81" t="b">
        <v>0</v>
      </c>
      <c r="F305" s="81"/>
      <c r="G305" s="113">
        <v>46022</v>
      </c>
      <c r="H305" s="35">
        <v>2</v>
      </c>
      <c r="I305" s="35" t="s">
        <v>638</v>
      </c>
      <c r="J305" s="160" t="s">
        <v>639</v>
      </c>
      <c r="K305" s="161">
        <v>7013809954</v>
      </c>
      <c r="L305" s="161">
        <v>505350182</v>
      </c>
      <c r="M305" s="161">
        <v>1051449534</v>
      </c>
      <c r="N305" s="35" t="s">
        <v>73</v>
      </c>
      <c r="O305" s="35" t="s">
        <v>97</v>
      </c>
      <c r="P305" s="35">
        <v>8</v>
      </c>
      <c r="Q305" s="35">
        <v>4</v>
      </c>
      <c r="R305" s="35">
        <f t="shared" si="151"/>
        <v>32</v>
      </c>
      <c r="S305" s="44">
        <v>60000</v>
      </c>
      <c r="T305" s="44">
        <f t="shared" si="162"/>
        <v>6000</v>
      </c>
      <c r="U305" s="63">
        <f>S305+T305+200</f>
        <v>66200</v>
      </c>
      <c r="V305" s="44"/>
      <c r="W305" s="44"/>
      <c r="X305" s="54">
        <v>0</v>
      </c>
      <c r="Y305" s="89">
        <f t="shared" si="153"/>
        <v>0</v>
      </c>
      <c r="Z305" s="91">
        <v>0</v>
      </c>
      <c r="AA305" s="91">
        <f t="shared" si="166"/>
        <v>0</v>
      </c>
      <c r="AB305" s="91"/>
      <c r="AC305" s="54">
        <v>69000</v>
      </c>
      <c r="AD305" s="54">
        <f>S305*1.15-AC305</f>
        <v>0</v>
      </c>
      <c r="AE305" s="53">
        <f>S305*1.15+X305-AB305-AC305</f>
        <v>0</v>
      </c>
      <c r="AF305" s="52" t="b">
        <v>0</v>
      </c>
      <c r="AG305" s="52"/>
      <c r="AH305" s="52"/>
      <c r="AI305" s="52"/>
      <c r="AJ305" s="52"/>
      <c r="AK305" s="52"/>
      <c r="AL305" s="52"/>
      <c r="AM305" s="52" t="b">
        <v>0</v>
      </c>
      <c r="AN305" s="52"/>
      <c r="AO305" s="52"/>
      <c r="AP305" s="52"/>
      <c r="AQ305" s="52"/>
      <c r="AR305" s="52"/>
      <c r="AS305" s="52" t="b">
        <v>0</v>
      </c>
      <c r="AT305" s="54"/>
      <c r="AU305" s="54"/>
      <c r="AV305" s="54"/>
      <c r="AW305" s="54"/>
      <c r="AX305" s="54" t="str">
        <f t="shared" si="155"/>
        <v>ملتزم</v>
      </c>
      <c r="AY305" s="54" t="s">
        <v>69</v>
      </c>
      <c r="AZ305" s="43" t="s">
        <v>107</v>
      </c>
      <c r="BA305" s="55"/>
      <c r="BB305" s="55"/>
      <c r="BC305" s="55"/>
      <c r="BD305" s="54"/>
      <c r="BE305" s="68">
        <v>57096</v>
      </c>
      <c r="BF305" s="54"/>
      <c r="BG305" s="54"/>
      <c r="BH305" s="54"/>
      <c r="BI305" s="54" t="s">
        <v>76</v>
      </c>
      <c r="BJ305" s="54">
        <f>(U305+V305+AE305)-BD305-BE305</f>
        <v>9104</v>
      </c>
      <c r="BK305" s="54" t="s">
        <v>113</v>
      </c>
    </row>
    <row r="306" spans="1:63" ht="34.5" hidden="1" customHeight="1" x14ac:dyDescent="0.25">
      <c r="A306" s="35">
        <f t="shared" si="133"/>
        <v>129</v>
      </c>
      <c r="B306" s="35" t="s">
        <v>640</v>
      </c>
      <c r="C306" s="105">
        <v>20109135341</v>
      </c>
      <c r="D306" s="37" t="s">
        <v>106</v>
      </c>
      <c r="E306" s="81" t="b">
        <v>0</v>
      </c>
      <c r="F306" s="81"/>
      <c r="G306" s="65">
        <v>46022</v>
      </c>
      <c r="H306" s="35">
        <v>2</v>
      </c>
      <c r="I306" s="35" t="s">
        <v>641</v>
      </c>
      <c r="J306" s="110">
        <v>31419</v>
      </c>
      <c r="K306" s="81">
        <v>7017187241</v>
      </c>
      <c r="L306" s="81">
        <v>533320119</v>
      </c>
      <c r="M306" s="81">
        <v>2031766955</v>
      </c>
      <c r="N306" s="35" t="s">
        <v>73</v>
      </c>
      <c r="O306" s="35" t="s">
        <v>97</v>
      </c>
      <c r="P306" s="35">
        <v>10</v>
      </c>
      <c r="Q306" s="35">
        <v>5.6</v>
      </c>
      <c r="R306" s="35">
        <f t="shared" si="151"/>
        <v>56</v>
      </c>
      <c r="S306" s="44">
        <v>60000</v>
      </c>
      <c r="T306" s="44">
        <f t="shared" si="162"/>
        <v>6000</v>
      </c>
      <c r="U306" s="63">
        <f>S306+T306</f>
        <v>66000</v>
      </c>
      <c r="V306" s="106"/>
      <c r="W306" s="106"/>
      <c r="X306" s="52"/>
      <c r="Y306" s="48">
        <f t="shared" si="153"/>
        <v>0</v>
      </c>
      <c r="Z306" s="50">
        <v>0</v>
      </c>
      <c r="AA306" s="50">
        <v>0</v>
      </c>
      <c r="AB306" s="50"/>
      <c r="AC306" s="52">
        <v>69000</v>
      </c>
      <c r="AD306" s="52">
        <f>S306*1.15-AC306</f>
        <v>0</v>
      </c>
      <c r="AE306" s="53">
        <f>S306*1.15+X306-AB306-AC306</f>
        <v>0</v>
      </c>
      <c r="AF306" s="52" t="b">
        <v>0</v>
      </c>
      <c r="AG306" s="52"/>
      <c r="AH306" s="52"/>
      <c r="AI306" s="52"/>
      <c r="AJ306" s="52"/>
      <c r="AK306" s="52"/>
      <c r="AL306" s="52"/>
      <c r="AM306" s="52" t="b">
        <v>0</v>
      </c>
      <c r="AN306" s="52"/>
      <c r="AO306" s="52"/>
      <c r="AP306" s="52"/>
      <c r="AQ306" s="52"/>
      <c r="AR306" s="52"/>
      <c r="AS306" s="52" t="b">
        <v>0</v>
      </c>
      <c r="AT306" s="52"/>
      <c r="AU306" s="52"/>
      <c r="AV306" s="52"/>
      <c r="AW306" s="52"/>
      <c r="AX306" s="52" t="str">
        <f t="shared" si="155"/>
        <v>ملتزم</v>
      </c>
      <c r="AY306" s="54" t="s">
        <v>69</v>
      </c>
      <c r="AZ306" s="43" t="s">
        <v>107</v>
      </c>
      <c r="BA306" s="55"/>
      <c r="BB306" s="55"/>
      <c r="BC306" s="55"/>
      <c r="BD306" s="54"/>
      <c r="BE306" s="68">
        <v>38064</v>
      </c>
      <c r="BF306" s="54"/>
      <c r="BG306" s="54"/>
      <c r="BH306" s="54"/>
      <c r="BI306" s="54" t="s">
        <v>112</v>
      </c>
      <c r="BJ306" s="54">
        <f>(U306+V306+AE306)-BD306-BE306</f>
        <v>27936</v>
      </c>
      <c r="BK306" s="54" t="s">
        <v>113</v>
      </c>
    </row>
    <row r="307" spans="1:63" ht="34.5" hidden="1" customHeight="1" x14ac:dyDescent="0.25">
      <c r="A307" s="35">
        <f t="shared" si="133"/>
        <v>130</v>
      </c>
      <c r="B307" s="35" t="s">
        <v>642</v>
      </c>
      <c r="C307" s="105">
        <v>20669784125</v>
      </c>
      <c r="D307" s="37" t="s">
        <v>106</v>
      </c>
      <c r="E307" s="81" t="b">
        <v>0</v>
      </c>
      <c r="F307" s="81"/>
      <c r="G307" s="113">
        <v>46022</v>
      </c>
      <c r="H307" s="35">
        <v>1</v>
      </c>
      <c r="I307" s="35">
        <v>270</v>
      </c>
      <c r="J307" s="95" t="s">
        <v>643</v>
      </c>
      <c r="K307" s="81">
        <v>7037550675</v>
      </c>
      <c r="L307" s="81">
        <v>55685060</v>
      </c>
      <c r="M307" s="81">
        <v>1118012580</v>
      </c>
      <c r="N307" s="35" t="s">
        <v>73</v>
      </c>
      <c r="O307" s="35" t="s">
        <v>97</v>
      </c>
      <c r="P307" s="35">
        <v>5</v>
      </c>
      <c r="Q307" s="35">
        <v>4</v>
      </c>
      <c r="R307" s="35">
        <f t="shared" si="151"/>
        <v>20</v>
      </c>
      <c r="S307" s="44">
        <v>30000</v>
      </c>
      <c r="T307" s="44">
        <f t="shared" si="162"/>
        <v>3000</v>
      </c>
      <c r="U307" s="63">
        <f>S307+T307+200</f>
        <v>33200</v>
      </c>
      <c r="V307" s="44"/>
      <c r="W307" s="44"/>
      <c r="X307" s="115"/>
      <c r="Y307" s="89">
        <f t="shared" si="153"/>
        <v>0</v>
      </c>
      <c r="Z307" s="91">
        <v>0</v>
      </c>
      <c r="AA307" s="91">
        <f t="shared" ref="AA307:AA327" si="167">Z307/1.15</f>
        <v>0</v>
      </c>
      <c r="AB307" s="91"/>
      <c r="AC307" s="54">
        <v>34500</v>
      </c>
      <c r="AD307" s="54">
        <f>S307*1.15-AC307</f>
        <v>0</v>
      </c>
      <c r="AE307" s="53">
        <f>S307*1.15+X307-AB307-AC307</f>
        <v>0</v>
      </c>
      <c r="AF307" s="54" t="b">
        <v>0</v>
      </c>
      <c r="AG307" s="54"/>
      <c r="AH307" s="54"/>
      <c r="AI307" s="54"/>
      <c r="AJ307" s="54"/>
      <c r="AK307" s="54"/>
      <c r="AL307" s="54"/>
      <c r="AM307" s="54" t="b">
        <v>0</v>
      </c>
      <c r="AN307" s="54"/>
      <c r="AO307" s="54"/>
      <c r="AP307" s="54"/>
      <c r="AQ307" s="54"/>
      <c r="AR307" s="54"/>
      <c r="AS307" s="54" t="b">
        <v>0</v>
      </c>
      <c r="AT307" s="54"/>
      <c r="AU307" s="54"/>
      <c r="AV307" s="54"/>
      <c r="AW307" s="54"/>
      <c r="AX307" s="54" t="str">
        <f t="shared" si="155"/>
        <v>ملتزم</v>
      </c>
      <c r="AY307" s="54" t="s">
        <v>77</v>
      </c>
      <c r="AZ307" s="43" t="s">
        <v>107</v>
      </c>
      <c r="BA307" s="55"/>
      <c r="BB307" s="55"/>
      <c r="BC307" s="55"/>
      <c r="BD307" s="54"/>
      <c r="BE307" s="68">
        <v>19090</v>
      </c>
      <c r="BF307" s="54"/>
      <c r="BG307" s="54"/>
      <c r="BH307" s="54"/>
      <c r="BI307" s="54" t="s">
        <v>112</v>
      </c>
      <c r="BJ307" s="54">
        <f>(U307+V307+AE307)-BD307-BE307</f>
        <v>14110</v>
      </c>
      <c r="BK307" s="54" t="s">
        <v>113</v>
      </c>
    </row>
    <row r="308" spans="1:63" ht="34.5" hidden="1" customHeight="1" x14ac:dyDescent="0.25">
      <c r="A308" s="35">
        <f t="shared" si="133"/>
        <v>131</v>
      </c>
      <c r="B308" s="35" t="s">
        <v>644</v>
      </c>
      <c r="C308" s="105">
        <v>20971189392</v>
      </c>
      <c r="D308" s="81" t="s">
        <v>100</v>
      </c>
      <c r="E308" s="81" t="b">
        <v>0</v>
      </c>
      <c r="F308" s="81"/>
      <c r="G308" s="65"/>
      <c r="H308" s="35">
        <v>2</v>
      </c>
      <c r="I308" s="131" t="s">
        <v>645</v>
      </c>
      <c r="J308" s="93" t="s">
        <v>96</v>
      </c>
      <c r="K308" s="85">
        <v>7006656396</v>
      </c>
      <c r="L308" s="81">
        <v>505620369</v>
      </c>
      <c r="M308" s="81">
        <v>1014777666</v>
      </c>
      <c r="N308" s="35" t="s">
        <v>73</v>
      </c>
      <c r="O308" s="35" t="s">
        <v>97</v>
      </c>
      <c r="P308" s="35">
        <v>10.6</v>
      </c>
      <c r="Q308" s="35">
        <v>4.6500000000000004</v>
      </c>
      <c r="R308" s="35">
        <f t="shared" si="151"/>
        <v>49.29</v>
      </c>
      <c r="S308" s="43">
        <v>60000</v>
      </c>
      <c r="T308" s="44">
        <f t="shared" si="162"/>
        <v>6000</v>
      </c>
      <c r="U308" s="63">
        <f t="shared" ref="U308:U311" si="168">S308+T308</f>
        <v>66000</v>
      </c>
      <c r="V308" s="140"/>
      <c r="W308" s="140"/>
      <c r="X308" s="45">
        <v>100050</v>
      </c>
      <c r="Y308" s="48">
        <f t="shared" si="153"/>
        <v>87000</v>
      </c>
      <c r="Z308" s="50">
        <v>0</v>
      </c>
      <c r="AA308" s="50">
        <f t="shared" si="167"/>
        <v>0</v>
      </c>
      <c r="AB308" s="50">
        <v>11500</v>
      </c>
      <c r="AC308" s="52">
        <v>0</v>
      </c>
      <c r="AD308" s="52">
        <f>S308*1.15-AC308</f>
        <v>69000</v>
      </c>
      <c r="AE308" s="53">
        <f>S308*1.15+X308-AB308-AC308</f>
        <v>157550</v>
      </c>
      <c r="AF308" s="52" t="b">
        <v>0</v>
      </c>
      <c r="AG308" s="52"/>
      <c r="AH308" s="52"/>
      <c r="AI308" s="52"/>
      <c r="AJ308" s="52"/>
      <c r="AK308" s="52"/>
      <c r="AL308" s="52"/>
      <c r="AM308" s="52" t="b">
        <v>0</v>
      </c>
      <c r="AN308" s="52"/>
      <c r="AO308" s="52"/>
      <c r="AP308" s="52"/>
      <c r="AQ308" s="52"/>
      <c r="AR308" s="52"/>
      <c r="AS308" s="52" t="b">
        <v>0</v>
      </c>
      <c r="AT308" s="52"/>
      <c r="AU308" s="52"/>
      <c r="AV308" s="52"/>
      <c r="AW308" s="52"/>
      <c r="AX308" s="52" t="str">
        <f t="shared" si="155"/>
        <v>غير ملتزم</v>
      </c>
      <c r="AY308" s="54" t="s">
        <v>77</v>
      </c>
      <c r="AZ308" s="43" t="s">
        <v>70</v>
      </c>
      <c r="BA308" s="135" t="s">
        <v>301</v>
      </c>
      <c r="BB308" s="135"/>
      <c r="BC308" s="135"/>
      <c r="BD308" s="54"/>
      <c r="BE308" s="68">
        <v>0</v>
      </c>
      <c r="BF308" s="54"/>
      <c r="BG308" s="54"/>
      <c r="BH308" s="54"/>
      <c r="BI308" s="54"/>
      <c r="BJ308" s="54">
        <f>(U308+V308+AE308)-BD308-BE308</f>
        <v>223550</v>
      </c>
      <c r="BK308" s="54"/>
    </row>
    <row r="309" spans="1:63" ht="34.5" hidden="1" customHeight="1" x14ac:dyDescent="0.25">
      <c r="A309" s="35">
        <f t="shared" si="133"/>
        <v>132</v>
      </c>
      <c r="B309" s="35" t="s">
        <v>646</v>
      </c>
      <c r="C309" s="105">
        <v>20574489513</v>
      </c>
      <c r="D309" s="37" t="s">
        <v>106</v>
      </c>
      <c r="E309" s="81" t="b">
        <v>0</v>
      </c>
      <c r="F309" s="81"/>
      <c r="G309" s="65">
        <v>46022</v>
      </c>
      <c r="H309" s="35">
        <v>2</v>
      </c>
      <c r="I309" s="35" t="s">
        <v>647</v>
      </c>
      <c r="J309" s="95" t="s">
        <v>648</v>
      </c>
      <c r="K309" s="81">
        <v>7012073495</v>
      </c>
      <c r="L309" s="81">
        <v>555456841</v>
      </c>
      <c r="M309" s="81">
        <v>1000325579</v>
      </c>
      <c r="N309" s="35" t="s">
        <v>73</v>
      </c>
      <c r="O309" s="35" t="s">
        <v>97</v>
      </c>
      <c r="P309" s="35">
        <v>10</v>
      </c>
      <c r="Q309" s="35">
        <v>4</v>
      </c>
      <c r="R309" s="35">
        <f t="shared" si="151"/>
        <v>40</v>
      </c>
      <c r="S309" s="44">
        <v>60000</v>
      </c>
      <c r="T309" s="44">
        <f t="shared" si="162"/>
        <v>6000</v>
      </c>
      <c r="U309" s="63">
        <f t="shared" si="168"/>
        <v>66000</v>
      </c>
      <c r="V309" s="106"/>
      <c r="W309" s="106"/>
      <c r="X309" s="52">
        <v>0</v>
      </c>
      <c r="Y309" s="48">
        <f t="shared" si="153"/>
        <v>0</v>
      </c>
      <c r="Z309" s="50">
        <v>0</v>
      </c>
      <c r="AA309" s="50">
        <f t="shared" si="167"/>
        <v>0</v>
      </c>
      <c r="AB309" s="50"/>
      <c r="AC309" s="52">
        <v>69000</v>
      </c>
      <c r="AD309" s="52">
        <f>S309*1.15-AC309</f>
        <v>0</v>
      </c>
      <c r="AE309" s="53">
        <f>S309*1.15+X309-AB309-AC309</f>
        <v>0</v>
      </c>
      <c r="AF309" s="52" t="b">
        <v>0</v>
      </c>
      <c r="AG309" s="52"/>
      <c r="AH309" s="52"/>
      <c r="AI309" s="52"/>
      <c r="AJ309" s="52"/>
      <c r="AK309" s="52"/>
      <c r="AL309" s="52"/>
      <c r="AM309" s="52" t="b">
        <v>0</v>
      </c>
      <c r="AN309" s="52"/>
      <c r="AO309" s="52"/>
      <c r="AP309" s="52"/>
      <c r="AQ309" s="52"/>
      <c r="AR309" s="52"/>
      <c r="AS309" s="52" t="b">
        <v>0</v>
      </c>
      <c r="AT309" s="52"/>
      <c r="AU309" s="52"/>
      <c r="AV309" s="52"/>
      <c r="AW309" s="52"/>
      <c r="AX309" s="52" t="str">
        <f t="shared" si="155"/>
        <v>ملتزم</v>
      </c>
      <c r="AY309" s="54" t="s">
        <v>77</v>
      </c>
      <c r="AZ309" s="43" t="s">
        <v>107</v>
      </c>
      <c r="BA309" s="55"/>
      <c r="BB309" s="55"/>
      <c r="BC309" s="55"/>
      <c r="BD309" s="54"/>
      <c r="BE309" s="68">
        <v>38007</v>
      </c>
      <c r="BF309" s="54"/>
      <c r="BG309" s="54"/>
      <c r="BH309" s="54"/>
      <c r="BI309" s="54" t="s">
        <v>76</v>
      </c>
      <c r="BJ309" s="54">
        <f>(U309+V309+AE309)-BD309-BE309</f>
        <v>27993</v>
      </c>
      <c r="BK309" s="54" t="s">
        <v>113</v>
      </c>
    </row>
    <row r="310" spans="1:63" ht="34.5" hidden="1" customHeight="1" x14ac:dyDescent="0.25">
      <c r="A310" s="35">
        <f t="shared" si="133"/>
        <v>133</v>
      </c>
      <c r="B310" s="57" t="s">
        <v>646</v>
      </c>
      <c r="C310" s="71"/>
      <c r="D310" s="81" t="s">
        <v>100</v>
      </c>
      <c r="E310" s="81" t="b">
        <v>0</v>
      </c>
      <c r="F310" s="81"/>
      <c r="G310" s="65">
        <v>45657</v>
      </c>
      <c r="H310" s="42">
        <v>1</v>
      </c>
      <c r="I310" s="42" t="s">
        <v>649</v>
      </c>
      <c r="J310" s="59" t="s">
        <v>648</v>
      </c>
      <c r="K310" s="61">
        <v>7012073495</v>
      </c>
      <c r="L310" s="61">
        <v>555456841</v>
      </c>
      <c r="M310" s="61">
        <v>1000325579</v>
      </c>
      <c r="N310" s="35" t="s">
        <v>73</v>
      </c>
      <c r="O310" s="42" t="s">
        <v>74</v>
      </c>
      <c r="P310" s="35">
        <v>8.4</v>
      </c>
      <c r="Q310" s="35">
        <v>4.8</v>
      </c>
      <c r="R310" s="35">
        <f t="shared" si="151"/>
        <v>40.32</v>
      </c>
      <c r="S310" s="62">
        <v>30000</v>
      </c>
      <c r="T310" s="44">
        <f t="shared" si="162"/>
        <v>3000</v>
      </c>
      <c r="U310" s="63">
        <f t="shared" si="168"/>
        <v>33000</v>
      </c>
      <c r="V310" s="99"/>
      <c r="W310" s="99"/>
      <c r="X310" s="52">
        <v>17500</v>
      </c>
      <c r="Y310" s="48">
        <f t="shared" si="153"/>
        <v>15217.391304347828</v>
      </c>
      <c r="Z310" s="69">
        <v>0</v>
      </c>
      <c r="AA310" s="50">
        <f t="shared" si="167"/>
        <v>0</v>
      </c>
      <c r="AB310" s="50">
        <v>17500</v>
      </c>
      <c r="AC310" s="52">
        <v>34500</v>
      </c>
      <c r="AD310" s="52">
        <f>S310*1.15-AC310</f>
        <v>0</v>
      </c>
      <c r="AE310" s="53">
        <f>S310*1.15+X310-AB310-AC310</f>
        <v>0</v>
      </c>
      <c r="AF310" s="52" t="b">
        <v>0</v>
      </c>
      <c r="AG310" s="52"/>
      <c r="AH310" s="52"/>
      <c r="AI310" s="52"/>
      <c r="AJ310" s="52"/>
      <c r="AK310" s="52"/>
      <c r="AL310" s="52"/>
      <c r="AM310" s="52" t="b">
        <v>0</v>
      </c>
      <c r="AN310" s="52"/>
      <c r="AO310" s="52"/>
      <c r="AP310" s="52"/>
      <c r="AQ310" s="52"/>
      <c r="AR310" s="52"/>
      <c r="AS310" s="52" t="b">
        <v>0</v>
      </c>
      <c r="AT310" s="52"/>
      <c r="AU310" s="52"/>
      <c r="AV310" s="52"/>
      <c r="AW310" s="52"/>
      <c r="AX310" s="52" t="str">
        <f t="shared" si="155"/>
        <v>ملتزم</v>
      </c>
      <c r="AY310" s="54" t="s">
        <v>77</v>
      </c>
      <c r="AZ310" s="43"/>
      <c r="BA310" s="55" t="s">
        <v>594</v>
      </c>
      <c r="BB310" s="55"/>
      <c r="BC310" s="55"/>
      <c r="BD310" s="54"/>
      <c r="BE310" s="68">
        <v>9487</v>
      </c>
      <c r="BF310" s="54"/>
      <c r="BG310" s="54"/>
      <c r="BH310" s="54"/>
      <c r="BI310" s="54" t="s">
        <v>72</v>
      </c>
      <c r="BJ310" s="54">
        <f>(U310+V310+AE310)-BD310-BE310</f>
        <v>23513</v>
      </c>
      <c r="BK310" s="54" t="s">
        <v>113</v>
      </c>
    </row>
    <row r="311" spans="1:63" ht="34.5" hidden="1" customHeight="1" x14ac:dyDescent="0.25">
      <c r="A311" s="35">
        <f t="shared" si="133"/>
        <v>134</v>
      </c>
      <c r="B311" s="35" t="s">
        <v>650</v>
      </c>
      <c r="C311" s="108"/>
      <c r="D311" s="81" t="s">
        <v>134</v>
      </c>
      <c r="E311" s="81" t="b">
        <v>0</v>
      </c>
      <c r="F311" s="81"/>
      <c r="G311" s="65"/>
      <c r="H311" s="35">
        <v>1</v>
      </c>
      <c r="I311" s="35">
        <v>48</v>
      </c>
      <c r="J311" s="95" t="s">
        <v>651</v>
      </c>
      <c r="K311" s="81">
        <v>7013415240</v>
      </c>
      <c r="L311" s="81">
        <v>505689218</v>
      </c>
      <c r="M311" s="81">
        <v>1004951115</v>
      </c>
      <c r="N311" s="35" t="s">
        <v>64</v>
      </c>
      <c r="O311" s="42" t="s">
        <v>97</v>
      </c>
      <c r="P311" s="35">
        <v>10.1</v>
      </c>
      <c r="Q311" s="35">
        <v>4</v>
      </c>
      <c r="R311" s="35">
        <f t="shared" si="151"/>
        <v>40.4</v>
      </c>
      <c r="S311" s="43">
        <v>40000</v>
      </c>
      <c r="T311" s="44">
        <f t="shared" si="162"/>
        <v>4000</v>
      </c>
      <c r="U311" s="63">
        <f t="shared" si="168"/>
        <v>44000</v>
      </c>
      <c r="V311" s="106"/>
      <c r="W311" s="106"/>
      <c r="X311" s="52"/>
      <c r="Y311" s="48">
        <f t="shared" si="153"/>
        <v>0</v>
      </c>
      <c r="Z311" s="69">
        <v>0</v>
      </c>
      <c r="AA311" s="50">
        <f t="shared" si="167"/>
        <v>0</v>
      </c>
      <c r="AB311" s="50"/>
      <c r="AC311" s="52">
        <v>46000</v>
      </c>
      <c r="AD311" s="52">
        <f>S311*1.15-AC311</f>
        <v>0</v>
      </c>
      <c r="AE311" s="53">
        <f>S311*1.15+X311-AB311-AC311</f>
        <v>0</v>
      </c>
      <c r="AF311" s="52" t="b">
        <v>1</v>
      </c>
      <c r="AG311" s="52" t="s">
        <v>67</v>
      </c>
      <c r="AH311" s="52">
        <v>46325.25</v>
      </c>
      <c r="AI311" s="52" t="s">
        <v>136</v>
      </c>
      <c r="AJ311" s="52" t="s">
        <v>136</v>
      </c>
      <c r="AK311" s="52" t="s">
        <v>151</v>
      </c>
      <c r="AL311" s="52"/>
      <c r="AM311" s="52" t="b">
        <v>0</v>
      </c>
      <c r="AN311" s="117">
        <v>45971</v>
      </c>
      <c r="AO311" s="52">
        <v>46325.25</v>
      </c>
      <c r="AP311" s="54"/>
      <c r="AQ311" s="54"/>
      <c r="AR311" s="52"/>
      <c r="AS311" s="52" t="b">
        <v>0</v>
      </c>
      <c r="AT311" s="118"/>
      <c r="AU311" s="52"/>
      <c r="AV311" s="52"/>
      <c r="AW311" s="52"/>
      <c r="AX311" s="52" t="str">
        <f t="shared" si="155"/>
        <v>ملتزم</v>
      </c>
      <c r="AY311" s="54" t="s">
        <v>77</v>
      </c>
      <c r="AZ311" s="43" t="s">
        <v>70</v>
      </c>
      <c r="BA311" s="55" t="s">
        <v>71</v>
      </c>
      <c r="BB311" s="55"/>
      <c r="BC311" s="55"/>
      <c r="BD311" s="54"/>
      <c r="BE311" s="68"/>
      <c r="BF311" s="54"/>
      <c r="BG311" s="54"/>
      <c r="BH311" s="54"/>
      <c r="BI311" s="54" t="s">
        <v>76</v>
      </c>
      <c r="BJ311" s="54">
        <f>(U311+V311+AE311)-BD311-BE311</f>
        <v>44000</v>
      </c>
      <c r="BK311" s="54"/>
    </row>
    <row r="312" spans="1:63" ht="34.5" hidden="1" customHeight="1" x14ac:dyDescent="0.25">
      <c r="A312" s="35">
        <f t="shared" si="133"/>
        <v>135</v>
      </c>
      <c r="B312" s="35" t="s">
        <v>652</v>
      </c>
      <c r="C312" s="105">
        <v>20750507053</v>
      </c>
      <c r="D312" s="37" t="s">
        <v>106</v>
      </c>
      <c r="E312" s="37" t="b">
        <v>0</v>
      </c>
      <c r="F312" s="37"/>
      <c r="G312" s="113">
        <v>46022</v>
      </c>
      <c r="H312" s="35">
        <v>2</v>
      </c>
      <c r="I312" s="35" t="s">
        <v>653</v>
      </c>
      <c r="J312" s="81" t="s">
        <v>654</v>
      </c>
      <c r="K312" s="87">
        <v>7001741334</v>
      </c>
      <c r="L312" s="87">
        <v>507623465</v>
      </c>
      <c r="M312" s="81">
        <v>2054297961</v>
      </c>
      <c r="N312" s="35" t="s">
        <v>73</v>
      </c>
      <c r="O312" s="35" t="s">
        <v>97</v>
      </c>
      <c r="P312" s="35">
        <v>8.6</v>
      </c>
      <c r="Q312" s="35">
        <v>4</v>
      </c>
      <c r="R312" s="35">
        <f t="shared" si="151"/>
        <v>34.4</v>
      </c>
      <c r="S312" s="44">
        <v>60000</v>
      </c>
      <c r="T312" s="44">
        <f t="shared" si="162"/>
        <v>6000</v>
      </c>
      <c r="U312" s="63">
        <f>S312+T312+200</f>
        <v>66200</v>
      </c>
      <c r="V312" s="44"/>
      <c r="W312" s="44"/>
      <c r="X312" s="54">
        <v>0</v>
      </c>
      <c r="Y312" s="89">
        <f t="shared" si="153"/>
        <v>0</v>
      </c>
      <c r="Z312" s="91">
        <v>0</v>
      </c>
      <c r="AA312" s="91">
        <f t="shared" si="167"/>
        <v>0</v>
      </c>
      <c r="AB312" s="91"/>
      <c r="AC312" s="54">
        <v>69000</v>
      </c>
      <c r="AD312" s="54">
        <f>S312*1.15-AC312</f>
        <v>0</v>
      </c>
      <c r="AE312" s="53">
        <f>S312*1.15+X312-AB312-AC312</f>
        <v>0</v>
      </c>
      <c r="AF312" s="54" t="b">
        <v>0</v>
      </c>
      <c r="AG312" s="54"/>
      <c r="AH312" s="54"/>
      <c r="AI312" s="54"/>
      <c r="AJ312" s="54"/>
      <c r="AK312" s="54"/>
      <c r="AL312" s="54"/>
      <c r="AM312" s="54" t="b">
        <v>0</v>
      </c>
      <c r="AN312" s="54"/>
      <c r="AO312" s="54"/>
      <c r="AP312" s="54"/>
      <c r="AQ312" s="54"/>
      <c r="AR312" s="54"/>
      <c r="AS312" s="54" t="b">
        <v>0</v>
      </c>
      <c r="AT312" s="54"/>
      <c r="AU312" s="54"/>
      <c r="AV312" s="54"/>
      <c r="AW312" s="54"/>
      <c r="AX312" s="54" t="str">
        <f t="shared" si="155"/>
        <v>ملتزم</v>
      </c>
      <c r="AY312" s="54" t="s">
        <v>69</v>
      </c>
      <c r="AZ312" s="43" t="s">
        <v>107</v>
      </c>
      <c r="BA312" s="55"/>
      <c r="BB312" s="55"/>
      <c r="BC312" s="55"/>
      <c r="BD312" s="54"/>
      <c r="BE312" s="68">
        <v>57097</v>
      </c>
      <c r="BF312" s="54"/>
      <c r="BG312" s="54"/>
      <c r="BH312" s="54"/>
      <c r="BI312" s="54" t="s">
        <v>76</v>
      </c>
      <c r="BJ312" s="54">
        <f>(U312+V312+AE312)-BD312-BE312</f>
        <v>9103</v>
      </c>
      <c r="BK312" s="54" t="s">
        <v>113</v>
      </c>
    </row>
    <row r="313" spans="1:63" ht="34.5" hidden="1" customHeight="1" x14ac:dyDescent="0.25">
      <c r="A313" s="35">
        <f t="shared" si="133"/>
        <v>136</v>
      </c>
      <c r="B313" s="57" t="s">
        <v>655</v>
      </c>
      <c r="C313" s="57">
        <v>20270771333</v>
      </c>
      <c r="D313" s="37" t="s">
        <v>106</v>
      </c>
      <c r="E313" s="81" t="b">
        <v>0</v>
      </c>
      <c r="F313" s="81"/>
      <c r="G313" s="65">
        <v>46022</v>
      </c>
      <c r="H313" s="42">
        <v>1</v>
      </c>
      <c r="I313" s="42">
        <v>7</v>
      </c>
      <c r="J313" s="112">
        <v>19725</v>
      </c>
      <c r="K313" s="61">
        <v>7001741334</v>
      </c>
      <c r="L313" s="61">
        <v>507623465</v>
      </c>
      <c r="M313" s="61">
        <v>2054297961</v>
      </c>
      <c r="N313" s="35" t="s">
        <v>73</v>
      </c>
      <c r="O313" s="42" t="s">
        <v>74</v>
      </c>
      <c r="P313" s="35">
        <v>6.2</v>
      </c>
      <c r="Q313" s="35">
        <v>6.9</v>
      </c>
      <c r="R313" s="35">
        <f t="shared" si="151"/>
        <v>42.78</v>
      </c>
      <c r="S313" s="62">
        <v>27000</v>
      </c>
      <c r="T313" s="44">
        <f t="shared" si="162"/>
        <v>2700</v>
      </c>
      <c r="U313" s="63">
        <f>S313+T313</f>
        <v>29700</v>
      </c>
      <c r="V313" s="64"/>
      <c r="W313" s="64"/>
      <c r="X313" s="52">
        <v>0</v>
      </c>
      <c r="Y313" s="48">
        <f t="shared" si="153"/>
        <v>0</v>
      </c>
      <c r="Z313" s="69">
        <v>0</v>
      </c>
      <c r="AA313" s="50">
        <f t="shared" si="167"/>
        <v>0</v>
      </c>
      <c r="AB313" s="50"/>
      <c r="AC313" s="52">
        <v>31050</v>
      </c>
      <c r="AD313" s="52">
        <f>S313*1.15-AC313</f>
        <v>0</v>
      </c>
      <c r="AE313" s="53">
        <f>S313*1.15+X313-AB313-AC313</f>
        <v>0</v>
      </c>
      <c r="AF313" s="52" t="b">
        <v>0</v>
      </c>
      <c r="AG313" s="52"/>
      <c r="AH313" s="52"/>
      <c r="AI313" s="52"/>
      <c r="AJ313" s="52"/>
      <c r="AK313" s="52"/>
      <c r="AL313" s="52"/>
      <c r="AM313" s="52" t="b">
        <v>0</v>
      </c>
      <c r="AN313" s="52"/>
      <c r="AO313" s="52"/>
      <c r="AP313" s="52"/>
      <c r="AQ313" s="52"/>
      <c r="AR313" s="52"/>
      <c r="AS313" s="52" t="b">
        <v>0</v>
      </c>
      <c r="AT313" s="52"/>
      <c r="AU313" s="52"/>
      <c r="AV313" s="52"/>
      <c r="AW313" s="52"/>
      <c r="AX313" s="52" t="str">
        <f t="shared" si="155"/>
        <v>ملتزم</v>
      </c>
      <c r="AY313" s="54" t="s">
        <v>77</v>
      </c>
      <c r="AZ313" s="43" t="s">
        <v>107</v>
      </c>
      <c r="BA313" s="55"/>
      <c r="BB313" s="55"/>
      <c r="BC313" s="55"/>
      <c r="BD313" s="54"/>
      <c r="BE313" s="68">
        <v>17192.5</v>
      </c>
      <c r="BF313" s="54"/>
      <c r="BG313" s="54"/>
      <c r="BH313" s="54"/>
      <c r="BI313" s="54" t="s">
        <v>76</v>
      </c>
      <c r="BJ313" s="54">
        <f>(U313+V313+AE313)-BD313-BE313</f>
        <v>12507.5</v>
      </c>
      <c r="BK313" s="54" t="s">
        <v>79</v>
      </c>
    </row>
    <row r="314" spans="1:63" ht="47.25" hidden="1" customHeight="1" x14ac:dyDescent="0.25">
      <c r="A314" s="35">
        <f t="shared" si="133"/>
        <v>137</v>
      </c>
      <c r="B314" s="166" t="s">
        <v>656</v>
      </c>
      <c r="C314" s="35"/>
      <c r="D314" s="81" t="s">
        <v>134</v>
      </c>
      <c r="E314" s="81" t="b">
        <v>0</v>
      </c>
      <c r="F314" s="81"/>
      <c r="G314" s="65"/>
      <c r="H314" s="35">
        <v>1</v>
      </c>
      <c r="I314" s="35">
        <v>103</v>
      </c>
      <c r="J314" s="81" t="s">
        <v>657</v>
      </c>
      <c r="K314" s="87">
        <v>7037586950</v>
      </c>
      <c r="L314" s="87">
        <v>550381661</v>
      </c>
      <c r="M314" s="81">
        <v>1094376694</v>
      </c>
      <c r="N314" s="35" t="s">
        <v>64</v>
      </c>
      <c r="O314" s="42" t="s">
        <v>65</v>
      </c>
      <c r="P314" s="35">
        <v>7.8</v>
      </c>
      <c r="Q314" s="35">
        <v>6.7</v>
      </c>
      <c r="R314" s="35">
        <f t="shared" si="151"/>
        <v>52.26</v>
      </c>
      <c r="S314" s="43">
        <v>30000</v>
      </c>
      <c r="T314" s="44"/>
      <c r="U314" s="45"/>
      <c r="V314" s="46">
        <v>33000</v>
      </c>
      <c r="W314" s="46"/>
      <c r="X314" s="94">
        <v>0</v>
      </c>
      <c r="Y314" s="89">
        <f t="shared" si="153"/>
        <v>0</v>
      </c>
      <c r="Z314" s="90">
        <v>0</v>
      </c>
      <c r="AA314" s="91">
        <f t="shared" si="167"/>
        <v>0</v>
      </c>
      <c r="AB314" s="91"/>
      <c r="AC314" s="88">
        <v>24375</v>
      </c>
      <c r="AD314" s="54">
        <f>S314*1.15-AC314</f>
        <v>10125</v>
      </c>
      <c r="AE314" s="167">
        <f>S314*1.15+X314-AB314-AC314</f>
        <v>10125</v>
      </c>
      <c r="AF314" s="54" t="b">
        <v>0</v>
      </c>
      <c r="AG314" s="54"/>
      <c r="AH314" s="54"/>
      <c r="AI314" s="54"/>
      <c r="AJ314" s="54"/>
      <c r="AK314" s="54"/>
      <c r="AL314" s="54"/>
      <c r="AM314" s="54" t="b">
        <v>0</v>
      </c>
      <c r="AN314" s="54"/>
      <c r="AO314" s="54"/>
      <c r="AP314" s="54"/>
      <c r="AQ314" s="54"/>
      <c r="AR314" s="54"/>
      <c r="AS314" s="54" t="b">
        <v>0</v>
      </c>
      <c r="AT314" s="54"/>
      <c r="AU314" s="54"/>
      <c r="AV314" s="54"/>
      <c r="AW314" s="54"/>
      <c r="AX314" s="54" t="str">
        <f t="shared" si="155"/>
        <v>غير ملتزم</v>
      </c>
      <c r="AY314" s="54" t="s">
        <v>69</v>
      </c>
      <c r="AZ314" s="43" t="s">
        <v>103</v>
      </c>
      <c r="BA314" s="70" t="s">
        <v>82</v>
      </c>
      <c r="BB314" s="70"/>
      <c r="BC314" s="70"/>
      <c r="BD314" s="54"/>
      <c r="BE314" s="54"/>
      <c r="BF314" s="54"/>
      <c r="BG314" s="54"/>
      <c r="BH314" s="54"/>
      <c r="BI314" s="52" t="s">
        <v>72</v>
      </c>
      <c r="BJ314" s="54">
        <f>(U314+V314+AE314)-BD314-BE314</f>
        <v>43125</v>
      </c>
      <c r="BK314" s="54"/>
    </row>
    <row r="315" spans="1:63" ht="34.5" hidden="1" customHeight="1" x14ac:dyDescent="0.25">
      <c r="A315" s="35">
        <f t="shared" si="133"/>
        <v>138</v>
      </c>
      <c r="B315" s="57" t="s">
        <v>658</v>
      </c>
      <c r="C315" s="57"/>
      <c r="D315" s="37" t="s">
        <v>106</v>
      </c>
      <c r="E315" s="61" t="b">
        <v>0</v>
      </c>
      <c r="F315" s="61"/>
      <c r="G315" s="65">
        <v>46022</v>
      </c>
      <c r="H315" s="42">
        <v>1</v>
      </c>
      <c r="I315" s="42">
        <v>50</v>
      </c>
      <c r="J315" s="59">
        <v>25994</v>
      </c>
      <c r="K315" s="61">
        <v>7011045940</v>
      </c>
      <c r="L315" s="61">
        <v>552616794</v>
      </c>
      <c r="M315" s="61">
        <v>2470820222</v>
      </c>
      <c r="N315" s="35" t="s">
        <v>73</v>
      </c>
      <c r="O315" s="42" t="s">
        <v>74</v>
      </c>
      <c r="P315" s="35">
        <v>8</v>
      </c>
      <c r="Q315" s="35">
        <v>6.8</v>
      </c>
      <c r="R315" s="35">
        <f t="shared" si="151"/>
        <v>54.4</v>
      </c>
      <c r="S315" s="62">
        <v>25000</v>
      </c>
      <c r="T315" s="44">
        <f t="shared" ref="T315:T322" si="169">S315*10/100</f>
        <v>2500</v>
      </c>
      <c r="U315" s="63">
        <f t="shared" ref="U315:U316" si="170">S315+T315</f>
        <v>27500</v>
      </c>
      <c r="V315" s="99"/>
      <c r="W315" s="99"/>
      <c r="X315" s="52">
        <v>5046</v>
      </c>
      <c r="Y315" s="48">
        <f t="shared" si="153"/>
        <v>4387.826086956522</v>
      </c>
      <c r="Z315" s="69">
        <v>0</v>
      </c>
      <c r="AA315" s="50">
        <f t="shared" si="167"/>
        <v>0</v>
      </c>
      <c r="AB315" s="50">
        <v>5046</v>
      </c>
      <c r="AC315" s="52">
        <v>28750</v>
      </c>
      <c r="AD315" s="52">
        <f>S315*1.15-AC315</f>
        <v>0</v>
      </c>
      <c r="AE315" s="53">
        <f>S315*1.15+X315-AB315-AC315</f>
        <v>0</v>
      </c>
      <c r="AF315" s="52" t="b">
        <v>0</v>
      </c>
      <c r="AG315" s="52"/>
      <c r="AH315" s="52"/>
      <c r="AI315" s="52"/>
      <c r="AJ315" s="52"/>
      <c r="AK315" s="52"/>
      <c r="AL315" s="52"/>
      <c r="AM315" s="52" t="b">
        <v>0</v>
      </c>
      <c r="AN315" s="52"/>
      <c r="AO315" s="52"/>
      <c r="AP315" s="52"/>
      <c r="AQ315" s="52"/>
      <c r="AR315" s="52"/>
      <c r="AS315" s="52" t="b">
        <v>0</v>
      </c>
      <c r="AT315" s="52"/>
      <c r="AU315" s="52"/>
      <c r="AV315" s="52"/>
      <c r="AW315" s="52"/>
      <c r="AX315" s="52" t="str">
        <f t="shared" si="155"/>
        <v>ملتزم</v>
      </c>
      <c r="AY315" s="54" t="s">
        <v>140</v>
      </c>
      <c r="AZ315" s="43" t="s">
        <v>107</v>
      </c>
      <c r="BA315" s="55"/>
      <c r="BB315" s="55"/>
      <c r="BC315" s="55"/>
      <c r="BD315" s="54"/>
      <c r="BE315" s="68">
        <v>0</v>
      </c>
      <c r="BF315" s="54"/>
      <c r="BG315" s="54"/>
      <c r="BH315" s="54"/>
      <c r="BI315" s="54" t="s">
        <v>72</v>
      </c>
      <c r="BJ315" s="54">
        <f>(U315+V315+AE315)-BD315-BE315</f>
        <v>27500</v>
      </c>
      <c r="BK315" s="54"/>
    </row>
    <row r="316" spans="1:63" ht="49.5" hidden="1" customHeight="1" x14ac:dyDescent="0.25">
      <c r="A316" s="35">
        <f t="shared" si="133"/>
        <v>139</v>
      </c>
      <c r="B316" s="35" t="s">
        <v>658</v>
      </c>
      <c r="C316" s="105">
        <v>20381643259</v>
      </c>
      <c r="D316" s="37" t="s">
        <v>106</v>
      </c>
      <c r="E316" s="81" t="b">
        <v>0</v>
      </c>
      <c r="F316" s="81"/>
      <c r="G316" s="65">
        <v>46022</v>
      </c>
      <c r="H316" s="35">
        <v>1</v>
      </c>
      <c r="I316" s="35">
        <v>322</v>
      </c>
      <c r="J316" s="110">
        <v>25967</v>
      </c>
      <c r="K316" s="81">
        <v>7011045940</v>
      </c>
      <c r="L316" s="81">
        <v>552616794</v>
      </c>
      <c r="M316" s="81">
        <v>2470820222</v>
      </c>
      <c r="N316" s="35" t="s">
        <v>73</v>
      </c>
      <c r="O316" s="35" t="s">
        <v>97</v>
      </c>
      <c r="P316" s="35">
        <v>5</v>
      </c>
      <c r="Q316" s="35">
        <v>4</v>
      </c>
      <c r="R316" s="35">
        <f t="shared" si="151"/>
        <v>20</v>
      </c>
      <c r="S316" s="44">
        <v>30000</v>
      </c>
      <c r="T316" s="44">
        <f t="shared" si="169"/>
        <v>3000</v>
      </c>
      <c r="U316" s="63">
        <f t="shared" si="170"/>
        <v>33000</v>
      </c>
      <c r="V316" s="106"/>
      <c r="W316" s="106"/>
      <c r="X316" s="52">
        <v>0</v>
      </c>
      <c r="Y316" s="48">
        <f t="shared" si="153"/>
        <v>0</v>
      </c>
      <c r="Z316" s="50">
        <v>0</v>
      </c>
      <c r="AA316" s="50">
        <f t="shared" si="167"/>
        <v>0</v>
      </c>
      <c r="AB316" s="50"/>
      <c r="AC316" s="52">
        <v>34500</v>
      </c>
      <c r="AD316" s="52">
        <f>S316*1.15-AC316</f>
        <v>0</v>
      </c>
      <c r="AE316" s="53">
        <f>S316*1.15+X316-AB316-AC316</f>
        <v>0</v>
      </c>
      <c r="AF316" s="52" t="b">
        <v>1</v>
      </c>
      <c r="AG316" s="117">
        <v>45698</v>
      </c>
      <c r="AH316" s="52">
        <v>19090</v>
      </c>
      <c r="AI316" s="54" t="s">
        <v>68</v>
      </c>
      <c r="AJ316" s="52" t="s">
        <v>136</v>
      </c>
      <c r="AK316" s="116" t="s">
        <v>659</v>
      </c>
      <c r="AL316" s="116"/>
      <c r="AM316" s="52" t="b">
        <v>0</v>
      </c>
      <c r="AN316" s="126" t="s">
        <v>152</v>
      </c>
      <c r="AO316" s="52">
        <v>19090</v>
      </c>
      <c r="AP316" s="54"/>
      <c r="AQ316" s="54"/>
      <c r="AR316" s="52"/>
      <c r="AS316" s="52" t="b">
        <v>0</v>
      </c>
      <c r="AT316" s="54"/>
      <c r="AU316" s="52"/>
      <c r="AV316" s="52"/>
      <c r="AW316" s="52"/>
      <c r="AX316" s="52" t="str">
        <f t="shared" si="155"/>
        <v>ملتزم</v>
      </c>
      <c r="AY316" s="54" t="s">
        <v>69</v>
      </c>
      <c r="AZ316" s="43" t="s">
        <v>107</v>
      </c>
      <c r="BA316" s="55"/>
      <c r="BB316" s="55"/>
      <c r="BC316" s="55"/>
      <c r="BD316" s="54"/>
      <c r="BE316" s="68">
        <v>9545</v>
      </c>
      <c r="BF316" s="54"/>
      <c r="BG316" s="54"/>
      <c r="BH316" s="54"/>
      <c r="BI316" s="54" t="s">
        <v>112</v>
      </c>
      <c r="BJ316" s="54">
        <f>(U316+V316+AE316)-BD316-BE316</f>
        <v>23455</v>
      </c>
      <c r="BK316" s="54" t="s">
        <v>660</v>
      </c>
    </row>
    <row r="317" spans="1:63" ht="34.5" hidden="1" customHeight="1" x14ac:dyDescent="0.25">
      <c r="A317" s="35">
        <f t="shared" si="133"/>
        <v>140</v>
      </c>
      <c r="B317" s="35" t="s">
        <v>661</v>
      </c>
      <c r="C317" s="105"/>
      <c r="D317" s="37" t="s">
        <v>106</v>
      </c>
      <c r="E317" s="81" t="b">
        <v>0</v>
      </c>
      <c r="F317" s="81"/>
      <c r="G317" s="113">
        <v>46022</v>
      </c>
      <c r="H317" s="35">
        <v>1</v>
      </c>
      <c r="I317" s="35">
        <v>290</v>
      </c>
      <c r="J317" s="95" t="s">
        <v>662</v>
      </c>
      <c r="K317" s="81">
        <v>7041973285</v>
      </c>
      <c r="L317" s="81">
        <v>551222980</v>
      </c>
      <c r="M317" s="81">
        <v>1001616893</v>
      </c>
      <c r="N317" s="35" t="s">
        <v>73</v>
      </c>
      <c r="O317" s="35" t="s">
        <v>97</v>
      </c>
      <c r="P317" s="35">
        <v>5</v>
      </c>
      <c r="Q317" s="35">
        <v>3.6</v>
      </c>
      <c r="R317" s="35">
        <f t="shared" si="151"/>
        <v>18</v>
      </c>
      <c r="S317" s="44">
        <v>30000</v>
      </c>
      <c r="T317" s="44">
        <f t="shared" si="169"/>
        <v>3000</v>
      </c>
      <c r="U317" s="63">
        <f>S317+T317+200</f>
        <v>33200</v>
      </c>
      <c r="V317" s="44"/>
      <c r="W317" s="44"/>
      <c r="X317" s="115"/>
      <c r="Y317" s="89">
        <f t="shared" si="153"/>
        <v>0</v>
      </c>
      <c r="Z317" s="91">
        <v>0</v>
      </c>
      <c r="AA317" s="91">
        <f t="shared" si="167"/>
        <v>0</v>
      </c>
      <c r="AB317" s="91">
        <v>0</v>
      </c>
      <c r="AC317" s="54">
        <v>34500</v>
      </c>
      <c r="AD317" s="54">
        <f>S317*1.15-AC317</f>
        <v>0</v>
      </c>
      <c r="AE317" s="53">
        <f>S317*1.15+X317-AB317-AC317</f>
        <v>0</v>
      </c>
      <c r="AF317" s="54" t="b">
        <v>0</v>
      </c>
      <c r="AG317" s="54"/>
      <c r="AH317" s="54"/>
      <c r="AI317" s="54"/>
      <c r="AJ317" s="54"/>
      <c r="AK317" s="54"/>
      <c r="AL317" s="54"/>
      <c r="AM317" s="54" t="b">
        <v>0</v>
      </c>
      <c r="AN317" s="54"/>
      <c r="AO317" s="54"/>
      <c r="AP317" s="54"/>
      <c r="AQ317" s="54"/>
      <c r="AR317" s="54"/>
      <c r="AS317" s="54" t="b">
        <v>0</v>
      </c>
      <c r="AT317" s="54"/>
      <c r="AU317" s="54"/>
      <c r="AV317" s="54"/>
      <c r="AW317" s="54"/>
      <c r="AX317" s="54" t="str">
        <f t="shared" si="155"/>
        <v>ملتزم</v>
      </c>
      <c r="AY317" s="54" t="s">
        <v>77</v>
      </c>
      <c r="AZ317" s="43" t="s">
        <v>107</v>
      </c>
      <c r="BA317" s="55"/>
      <c r="BB317" s="55"/>
      <c r="BC317" s="55"/>
      <c r="BD317" s="54"/>
      <c r="BE317" s="68">
        <v>19090</v>
      </c>
      <c r="BF317" s="54"/>
      <c r="BG317" s="54"/>
      <c r="BH317" s="54"/>
      <c r="BI317" s="54" t="s">
        <v>72</v>
      </c>
      <c r="BJ317" s="54">
        <f>(U317+V317+AE317)-BD317-BE317</f>
        <v>14110</v>
      </c>
      <c r="BK317" s="54" t="s">
        <v>113</v>
      </c>
    </row>
    <row r="318" spans="1:63" ht="34.5" hidden="1" customHeight="1" x14ac:dyDescent="0.25">
      <c r="A318" s="35">
        <f t="shared" si="133"/>
        <v>141</v>
      </c>
      <c r="B318" s="57" t="s">
        <v>663</v>
      </c>
      <c r="C318" s="57">
        <v>20404449407</v>
      </c>
      <c r="D318" s="37" t="s">
        <v>106</v>
      </c>
      <c r="E318" s="81" t="b">
        <v>0</v>
      </c>
      <c r="F318" s="81"/>
      <c r="G318" s="65">
        <v>46022</v>
      </c>
      <c r="H318" s="42">
        <v>1</v>
      </c>
      <c r="I318" s="42">
        <v>6</v>
      </c>
      <c r="J318" s="59" t="s">
        <v>662</v>
      </c>
      <c r="K318" s="61">
        <v>7041973285</v>
      </c>
      <c r="L318" s="61">
        <v>551222980</v>
      </c>
      <c r="M318" s="61">
        <v>1001616893</v>
      </c>
      <c r="N318" s="35" t="s">
        <v>73</v>
      </c>
      <c r="O318" s="42" t="s">
        <v>74</v>
      </c>
      <c r="P318" s="35">
        <v>7.7</v>
      </c>
      <c r="Q318" s="35">
        <v>4.5</v>
      </c>
      <c r="R318" s="35">
        <f t="shared" si="151"/>
        <v>34.65</v>
      </c>
      <c r="S318" s="62">
        <v>23000</v>
      </c>
      <c r="T318" s="44">
        <f t="shared" si="169"/>
        <v>2300</v>
      </c>
      <c r="U318" s="63">
        <f t="shared" ref="U318:U322" si="171">S318+T318</f>
        <v>25300</v>
      </c>
      <c r="V318" s="64"/>
      <c r="W318" s="64"/>
      <c r="X318" s="52"/>
      <c r="Y318" s="48">
        <f t="shared" si="153"/>
        <v>0</v>
      </c>
      <c r="Z318" s="69">
        <v>0</v>
      </c>
      <c r="AA318" s="50">
        <f t="shared" si="167"/>
        <v>0</v>
      </c>
      <c r="AB318" s="50"/>
      <c r="AC318" s="52">
        <v>26450</v>
      </c>
      <c r="AD318" s="52">
        <f>S318*1.15-AC318</f>
        <v>0</v>
      </c>
      <c r="AE318" s="53">
        <f>S318*1.15+X318-AB318-AC318</f>
        <v>0</v>
      </c>
      <c r="AF318" s="52" t="b">
        <v>0</v>
      </c>
      <c r="AG318" s="52"/>
      <c r="AH318" s="52"/>
      <c r="AI318" s="52"/>
      <c r="AJ318" s="52"/>
      <c r="AK318" s="52"/>
      <c r="AL318" s="52"/>
      <c r="AM318" s="52" t="b">
        <v>0</v>
      </c>
      <c r="AN318" s="52"/>
      <c r="AO318" s="52"/>
      <c r="AP318" s="52"/>
      <c r="AQ318" s="52"/>
      <c r="AR318" s="52"/>
      <c r="AS318" s="52" t="b">
        <v>0</v>
      </c>
      <c r="AT318" s="52"/>
      <c r="AU318" s="52"/>
      <c r="AV318" s="52"/>
      <c r="AW318" s="52"/>
      <c r="AX318" s="52" t="str">
        <f t="shared" si="155"/>
        <v>ملتزم</v>
      </c>
      <c r="AY318" s="54" t="s">
        <v>69</v>
      </c>
      <c r="AZ318" s="43" t="s">
        <v>107</v>
      </c>
      <c r="BA318" s="55"/>
      <c r="BB318" s="55"/>
      <c r="BC318" s="55"/>
      <c r="BD318" s="54"/>
      <c r="BE318" s="68">
        <v>0</v>
      </c>
      <c r="BF318" s="54"/>
      <c r="BG318" s="54"/>
      <c r="BH318" s="54"/>
      <c r="BI318" s="52" t="s">
        <v>72</v>
      </c>
      <c r="BJ318" s="54">
        <f>(U318+V318+AE318)-BD318-BE318</f>
        <v>25300</v>
      </c>
      <c r="BK318" s="54"/>
    </row>
    <row r="319" spans="1:63" ht="34.5" hidden="1" customHeight="1" x14ac:dyDescent="0.25">
      <c r="A319" s="35">
        <f t="shared" si="133"/>
        <v>142</v>
      </c>
      <c r="B319" s="35" t="s">
        <v>664</v>
      </c>
      <c r="C319" s="105">
        <v>20937352543</v>
      </c>
      <c r="D319" s="37" t="s">
        <v>106</v>
      </c>
      <c r="E319" s="81" t="b">
        <v>0</v>
      </c>
      <c r="F319" s="81"/>
      <c r="G319" s="65">
        <v>46022</v>
      </c>
      <c r="H319" s="35">
        <v>1</v>
      </c>
      <c r="I319" s="35">
        <v>387</v>
      </c>
      <c r="J319" s="95" t="s">
        <v>665</v>
      </c>
      <c r="K319" s="81">
        <v>7015625218</v>
      </c>
      <c r="L319" s="81">
        <v>503611688</v>
      </c>
      <c r="M319" s="81">
        <v>1063830374</v>
      </c>
      <c r="N319" s="35" t="s">
        <v>73</v>
      </c>
      <c r="O319" s="35" t="s">
        <v>97</v>
      </c>
      <c r="P319" s="35">
        <v>5</v>
      </c>
      <c r="Q319" s="35">
        <v>4</v>
      </c>
      <c r="R319" s="35">
        <f t="shared" si="151"/>
        <v>20</v>
      </c>
      <c r="S319" s="44">
        <v>30000</v>
      </c>
      <c r="T319" s="44">
        <f t="shared" si="169"/>
        <v>3000</v>
      </c>
      <c r="U319" s="63">
        <f t="shared" si="171"/>
        <v>33000</v>
      </c>
      <c r="V319" s="106"/>
      <c r="W319" s="106"/>
      <c r="X319" s="45"/>
      <c r="Y319" s="48">
        <f t="shared" si="153"/>
        <v>0</v>
      </c>
      <c r="Z319" s="50">
        <v>0</v>
      </c>
      <c r="AA319" s="50">
        <f t="shared" si="167"/>
        <v>0</v>
      </c>
      <c r="AB319" s="50"/>
      <c r="AC319" s="52">
        <v>33575</v>
      </c>
      <c r="AD319" s="52">
        <f>S319*1.15-AC319</f>
        <v>925</v>
      </c>
      <c r="AE319" s="53">
        <f>S319*1.15+X319-AB319-AC319</f>
        <v>925</v>
      </c>
      <c r="AF319" s="52" t="b">
        <v>1</v>
      </c>
      <c r="AG319" s="117">
        <v>45698</v>
      </c>
      <c r="AH319" s="52">
        <v>35105</v>
      </c>
      <c r="AI319" s="54" t="s">
        <v>68</v>
      </c>
      <c r="AJ319" s="52" t="s">
        <v>136</v>
      </c>
      <c r="AK319" s="116" t="s">
        <v>666</v>
      </c>
      <c r="AL319" s="116"/>
      <c r="AM319" s="52" t="b">
        <v>0</v>
      </c>
      <c r="AN319" s="126" t="s">
        <v>152</v>
      </c>
      <c r="AO319" s="52">
        <v>35105</v>
      </c>
      <c r="AP319" s="54"/>
      <c r="AQ319" s="54"/>
      <c r="AR319" s="52"/>
      <c r="AS319" s="52" t="b">
        <v>0</v>
      </c>
      <c r="AT319" s="54"/>
      <c r="AU319" s="52"/>
      <c r="AV319" s="52"/>
      <c r="AW319" s="52"/>
      <c r="AX319" s="52" t="str">
        <f t="shared" si="155"/>
        <v>غير ملتزم</v>
      </c>
      <c r="AY319" s="54" t="s">
        <v>77</v>
      </c>
      <c r="AZ319" s="43" t="s">
        <v>107</v>
      </c>
      <c r="BA319" s="55"/>
      <c r="BB319" s="55"/>
      <c r="BC319" s="55"/>
      <c r="BD319" s="54"/>
      <c r="BE319" s="68">
        <v>0</v>
      </c>
      <c r="BF319" s="54"/>
      <c r="BG319" s="54"/>
      <c r="BH319" s="54"/>
      <c r="BI319" s="52" t="s">
        <v>72</v>
      </c>
      <c r="BJ319" s="54">
        <f>(U319+V319+AE319)-BD319-BE319</f>
        <v>33925</v>
      </c>
      <c r="BK319" s="54"/>
    </row>
    <row r="320" spans="1:63" ht="34.5" hidden="1" customHeight="1" x14ac:dyDescent="0.25">
      <c r="A320" s="35">
        <f t="shared" si="133"/>
        <v>143</v>
      </c>
      <c r="B320" s="57" t="s">
        <v>667</v>
      </c>
      <c r="C320" s="57">
        <v>20318859017</v>
      </c>
      <c r="D320" s="37" t="s">
        <v>106</v>
      </c>
      <c r="E320" s="81" t="b">
        <v>0</v>
      </c>
      <c r="F320" s="81"/>
      <c r="G320" s="65">
        <v>46022</v>
      </c>
      <c r="H320" s="42">
        <v>2</v>
      </c>
      <c r="I320" s="42" t="s">
        <v>668</v>
      </c>
      <c r="J320" s="97" t="s">
        <v>334</v>
      </c>
      <c r="K320" s="98"/>
      <c r="L320" s="98"/>
      <c r="M320" s="98">
        <v>1086690284</v>
      </c>
      <c r="N320" s="35" t="s">
        <v>73</v>
      </c>
      <c r="O320" s="42" t="s">
        <v>74</v>
      </c>
      <c r="P320" s="35">
        <v>12.5</v>
      </c>
      <c r="Q320" s="35">
        <v>5.4</v>
      </c>
      <c r="R320" s="35">
        <f t="shared" si="151"/>
        <v>67.5</v>
      </c>
      <c r="S320" s="62">
        <v>42000</v>
      </c>
      <c r="T320" s="44">
        <f t="shared" si="169"/>
        <v>4200</v>
      </c>
      <c r="U320" s="63">
        <f t="shared" si="171"/>
        <v>46200</v>
      </c>
      <c r="V320" s="64"/>
      <c r="W320" s="64"/>
      <c r="X320" s="52">
        <v>0</v>
      </c>
      <c r="Y320" s="48">
        <f t="shared" si="153"/>
        <v>0</v>
      </c>
      <c r="Z320" s="69">
        <v>0</v>
      </c>
      <c r="AA320" s="50">
        <f t="shared" si="167"/>
        <v>0</v>
      </c>
      <c r="AB320" s="50"/>
      <c r="AC320" s="52">
        <v>48300</v>
      </c>
      <c r="AD320" s="52">
        <f>S320*1.15-AC320</f>
        <v>0</v>
      </c>
      <c r="AE320" s="52">
        <f>S320*1.15+X320-AB320-AC320</f>
        <v>0</v>
      </c>
      <c r="AF320" s="52" t="b">
        <v>0</v>
      </c>
      <c r="AG320" s="52"/>
      <c r="AH320" s="52"/>
      <c r="AI320" s="52"/>
      <c r="AJ320" s="52"/>
      <c r="AK320" s="52"/>
      <c r="AL320" s="52"/>
      <c r="AM320" s="52" t="b">
        <v>0</v>
      </c>
      <c r="AN320" s="52"/>
      <c r="AO320" s="52"/>
      <c r="AP320" s="52"/>
      <c r="AQ320" s="52"/>
      <c r="AR320" s="52"/>
      <c r="AS320" s="52" t="b">
        <v>0</v>
      </c>
      <c r="AT320" s="52"/>
      <c r="AU320" s="52"/>
      <c r="AV320" s="52"/>
      <c r="AW320" s="52"/>
      <c r="AX320" s="52" t="str">
        <f t="shared" si="155"/>
        <v>ملتزم</v>
      </c>
      <c r="AY320" s="54" t="s">
        <v>69</v>
      </c>
      <c r="AZ320" s="43" t="s">
        <v>107</v>
      </c>
      <c r="BA320" s="55"/>
      <c r="BB320" s="55"/>
      <c r="BC320" s="55"/>
      <c r="BD320" s="54"/>
      <c r="BE320" s="68">
        <v>25472.25</v>
      </c>
      <c r="BF320" s="54"/>
      <c r="BG320" s="54"/>
      <c r="BH320" s="54"/>
      <c r="BI320" s="54" t="s">
        <v>112</v>
      </c>
      <c r="BJ320" s="54">
        <f>(U320+V320+AE320)-BD320-BE320</f>
        <v>20727.75</v>
      </c>
      <c r="BK320" s="54" t="s">
        <v>113</v>
      </c>
    </row>
    <row r="321" spans="1:63" ht="34.5" hidden="1" customHeight="1" x14ac:dyDescent="0.25">
      <c r="A321" s="35">
        <f t="shared" si="133"/>
        <v>144</v>
      </c>
      <c r="B321" s="35" t="s">
        <v>669</v>
      </c>
      <c r="C321" s="105">
        <v>20003930168</v>
      </c>
      <c r="D321" s="37" t="s">
        <v>106</v>
      </c>
      <c r="E321" s="81" t="b">
        <v>0</v>
      </c>
      <c r="F321" s="81"/>
      <c r="G321" s="65">
        <v>46022</v>
      </c>
      <c r="H321" s="35">
        <v>1</v>
      </c>
      <c r="I321" s="35">
        <v>368</v>
      </c>
      <c r="J321" s="95" t="s">
        <v>220</v>
      </c>
      <c r="K321" s="81">
        <v>4030148892</v>
      </c>
      <c r="L321" s="81">
        <v>536912251</v>
      </c>
      <c r="M321" s="81">
        <v>1081078717</v>
      </c>
      <c r="N321" s="35" t="s">
        <v>73</v>
      </c>
      <c r="O321" s="35" t="s">
        <v>97</v>
      </c>
      <c r="P321" s="35">
        <v>5</v>
      </c>
      <c r="Q321" s="35">
        <v>4</v>
      </c>
      <c r="R321" s="35">
        <f t="shared" si="151"/>
        <v>20</v>
      </c>
      <c r="S321" s="44">
        <v>30000</v>
      </c>
      <c r="T321" s="44">
        <f t="shared" si="169"/>
        <v>3000</v>
      </c>
      <c r="U321" s="63">
        <f t="shared" si="171"/>
        <v>33000</v>
      </c>
      <c r="V321" s="106"/>
      <c r="W321" s="106"/>
      <c r="X321" s="45">
        <v>16525</v>
      </c>
      <c r="Y321" s="48">
        <f t="shared" si="153"/>
        <v>14369.565217391306</v>
      </c>
      <c r="Z321" s="50">
        <v>0</v>
      </c>
      <c r="AA321" s="50">
        <f t="shared" si="167"/>
        <v>0</v>
      </c>
      <c r="AB321" s="50">
        <v>5000</v>
      </c>
      <c r="AC321" s="52">
        <v>0</v>
      </c>
      <c r="AD321" s="52">
        <f>S321*1.15-AC321</f>
        <v>34500</v>
      </c>
      <c r="AE321" s="53">
        <f>S321*1.15+X321-AB321-AC321</f>
        <v>46025</v>
      </c>
      <c r="AF321" s="52" t="b">
        <v>0</v>
      </c>
      <c r="AG321" s="52"/>
      <c r="AH321" s="52"/>
      <c r="AI321" s="52"/>
      <c r="AJ321" s="52"/>
      <c r="AK321" s="52"/>
      <c r="AL321" s="52"/>
      <c r="AM321" s="52" t="b">
        <v>0</v>
      </c>
      <c r="AN321" s="52"/>
      <c r="AO321" s="52"/>
      <c r="AP321" s="52"/>
      <c r="AQ321" s="52"/>
      <c r="AR321" s="52"/>
      <c r="AS321" s="52" t="b">
        <v>0</v>
      </c>
      <c r="AT321" s="52"/>
      <c r="AU321" s="52"/>
      <c r="AV321" s="52"/>
      <c r="AW321" s="52"/>
      <c r="AX321" s="52" t="str">
        <f t="shared" si="155"/>
        <v>غير ملتزم</v>
      </c>
      <c r="AY321" s="54" t="s">
        <v>77</v>
      </c>
      <c r="AZ321" s="43" t="s">
        <v>107</v>
      </c>
      <c r="BA321" s="55"/>
      <c r="BB321" s="55"/>
      <c r="BC321" s="55"/>
      <c r="BD321" s="54"/>
      <c r="BE321" s="68"/>
      <c r="BF321" s="54"/>
      <c r="BG321" s="54"/>
      <c r="BH321" s="54"/>
      <c r="BI321" s="54" t="s">
        <v>325</v>
      </c>
      <c r="BJ321" s="54">
        <f>(U321+V321+AE321)-BD321-BE321</f>
        <v>79025</v>
      </c>
      <c r="BK321" s="54"/>
    </row>
    <row r="322" spans="1:63" ht="34.5" hidden="1" customHeight="1" x14ac:dyDescent="0.25">
      <c r="A322" s="35">
        <f t="shared" si="133"/>
        <v>145</v>
      </c>
      <c r="B322" s="36" t="s">
        <v>670</v>
      </c>
      <c r="C322" s="35"/>
      <c r="D322" s="81" t="s">
        <v>94</v>
      </c>
      <c r="E322" s="81" t="b">
        <v>0</v>
      </c>
      <c r="F322" s="81"/>
      <c r="G322" s="65"/>
      <c r="H322" s="35">
        <v>2</v>
      </c>
      <c r="I322" s="35" t="s">
        <v>671</v>
      </c>
      <c r="J322" s="95" t="s">
        <v>672</v>
      </c>
      <c r="K322" s="81">
        <v>7016101839</v>
      </c>
      <c r="L322" s="81">
        <v>550707414</v>
      </c>
      <c r="M322" s="81">
        <v>1107286757</v>
      </c>
      <c r="N322" s="35" t="s">
        <v>64</v>
      </c>
      <c r="O322" s="42" t="s">
        <v>84</v>
      </c>
      <c r="P322" s="35">
        <v>18.7</v>
      </c>
      <c r="Q322" s="35">
        <v>9.5</v>
      </c>
      <c r="R322" s="35">
        <f t="shared" si="151"/>
        <v>177.65</v>
      </c>
      <c r="S322" s="43">
        <v>56000</v>
      </c>
      <c r="T322" s="44">
        <f t="shared" si="169"/>
        <v>5600</v>
      </c>
      <c r="U322" s="63">
        <f t="shared" si="171"/>
        <v>61600</v>
      </c>
      <c r="V322" s="46">
        <v>88825</v>
      </c>
      <c r="W322" s="46"/>
      <c r="X322" s="52">
        <v>68995</v>
      </c>
      <c r="Y322" s="48">
        <f t="shared" si="153"/>
        <v>59995.652173913048</v>
      </c>
      <c r="Z322" s="69">
        <v>0</v>
      </c>
      <c r="AA322" s="50">
        <f t="shared" si="167"/>
        <v>0</v>
      </c>
      <c r="AB322" s="50"/>
      <c r="AC322" s="52">
        <v>0</v>
      </c>
      <c r="AD322" s="52">
        <f>S322*1.15-AC322</f>
        <v>64399.999999999993</v>
      </c>
      <c r="AE322" s="53">
        <f>S322*1.15+X322-AB322-AC322</f>
        <v>133395</v>
      </c>
      <c r="AF322" s="52" t="b">
        <v>0</v>
      </c>
      <c r="AG322" s="52"/>
      <c r="AH322" s="52"/>
      <c r="AI322" s="52"/>
      <c r="AJ322" s="52"/>
      <c r="AK322" s="52"/>
      <c r="AL322" s="52"/>
      <c r="AM322" s="52" t="b">
        <v>0</v>
      </c>
      <c r="AN322" s="52"/>
      <c r="AO322" s="52"/>
      <c r="AP322" s="52"/>
      <c r="AQ322" s="52"/>
      <c r="AR322" s="52"/>
      <c r="AS322" s="52" t="b">
        <v>0</v>
      </c>
      <c r="AT322" s="52"/>
      <c r="AU322" s="52"/>
      <c r="AV322" s="52"/>
      <c r="AW322" s="52"/>
      <c r="AX322" s="52" t="str">
        <f t="shared" si="155"/>
        <v>غير ملتزم</v>
      </c>
      <c r="AY322" s="54" t="s">
        <v>140</v>
      </c>
      <c r="AZ322" s="43" t="s">
        <v>103</v>
      </c>
      <c r="BA322" s="107" t="s">
        <v>98</v>
      </c>
      <c r="BB322" s="107"/>
      <c r="BC322" s="107"/>
      <c r="BD322" s="54"/>
      <c r="BE322" s="54"/>
      <c r="BF322" s="54"/>
      <c r="BG322" s="54"/>
      <c r="BH322" s="54"/>
      <c r="BI322" s="54"/>
      <c r="BJ322" s="54">
        <f>(U322+V322+AE322)-BD322-BE322</f>
        <v>283820</v>
      </c>
      <c r="BK322" s="54"/>
    </row>
    <row r="323" spans="1:63" ht="34.5" hidden="1" customHeight="1" x14ac:dyDescent="0.25">
      <c r="A323" s="35">
        <f t="shared" si="133"/>
        <v>146</v>
      </c>
      <c r="B323" s="35" t="s">
        <v>673</v>
      </c>
      <c r="C323" s="105">
        <v>20323375036</v>
      </c>
      <c r="D323" s="37" t="s">
        <v>106</v>
      </c>
      <c r="E323" s="81" t="b">
        <v>0</v>
      </c>
      <c r="F323" s="81"/>
      <c r="G323" s="113">
        <v>46022</v>
      </c>
      <c r="H323" s="35">
        <v>1</v>
      </c>
      <c r="I323" s="35">
        <v>216</v>
      </c>
      <c r="J323" s="84" t="s">
        <v>674</v>
      </c>
      <c r="K323" s="114">
        <v>7005136564</v>
      </c>
      <c r="L323" s="114">
        <v>509019902</v>
      </c>
      <c r="M323" s="81">
        <v>1113945487</v>
      </c>
      <c r="N323" s="35" t="s">
        <v>73</v>
      </c>
      <c r="O323" s="35" t="s">
        <v>97</v>
      </c>
      <c r="P323" s="35">
        <v>6.95</v>
      </c>
      <c r="Q323" s="35">
        <v>4.1500000000000004</v>
      </c>
      <c r="R323" s="35">
        <f t="shared" si="151"/>
        <v>28.842500000000005</v>
      </c>
      <c r="S323" s="44">
        <v>30000</v>
      </c>
      <c r="T323" s="44">
        <f>S323*20/100</f>
        <v>6000</v>
      </c>
      <c r="U323" s="63">
        <f>S323+T323+200</f>
        <v>36200</v>
      </c>
      <c r="V323" s="44"/>
      <c r="W323" s="44"/>
      <c r="X323" s="54">
        <v>0</v>
      </c>
      <c r="Y323" s="89">
        <f t="shared" si="153"/>
        <v>0</v>
      </c>
      <c r="Z323" s="91">
        <v>0</v>
      </c>
      <c r="AA323" s="91">
        <f t="shared" si="167"/>
        <v>0</v>
      </c>
      <c r="AB323" s="91">
        <v>0</v>
      </c>
      <c r="AC323" s="54">
        <v>34500</v>
      </c>
      <c r="AD323" s="54">
        <f>S323*1.15-AC323</f>
        <v>0</v>
      </c>
      <c r="AE323" s="53">
        <f>S323*1.15+X323-AB323-AC323</f>
        <v>0</v>
      </c>
      <c r="AF323" s="52" t="b">
        <v>0</v>
      </c>
      <c r="AG323" s="52"/>
      <c r="AH323" s="52"/>
      <c r="AI323" s="52"/>
      <c r="AJ323" s="52"/>
      <c r="AK323" s="52"/>
      <c r="AL323" s="52"/>
      <c r="AM323" s="52" t="b">
        <v>0</v>
      </c>
      <c r="AN323" s="52"/>
      <c r="AO323" s="52"/>
      <c r="AP323" s="52"/>
      <c r="AQ323" s="52"/>
      <c r="AR323" s="52"/>
      <c r="AS323" s="52" t="b">
        <v>0</v>
      </c>
      <c r="AT323" s="54"/>
      <c r="AU323" s="54"/>
      <c r="AV323" s="54"/>
      <c r="AW323" s="54"/>
      <c r="AX323" s="54" t="str">
        <f t="shared" si="155"/>
        <v>ملتزم</v>
      </c>
      <c r="AY323" s="54" t="s">
        <v>69</v>
      </c>
      <c r="AZ323" s="43" t="s">
        <v>107</v>
      </c>
      <c r="BA323" s="55"/>
      <c r="BB323" s="55"/>
      <c r="BC323" s="55"/>
      <c r="BD323" s="54"/>
      <c r="BE323" s="68">
        <v>20815</v>
      </c>
      <c r="BF323" s="54"/>
      <c r="BG323" s="54"/>
      <c r="BH323" s="54"/>
      <c r="BI323" s="54" t="s">
        <v>112</v>
      </c>
      <c r="BJ323" s="54">
        <f>(U323+V323+AE323)-BD323-BE323</f>
        <v>15385</v>
      </c>
      <c r="BK323" s="54" t="s">
        <v>205</v>
      </c>
    </row>
    <row r="324" spans="1:63" ht="34.5" hidden="1" customHeight="1" x14ac:dyDescent="0.25">
      <c r="A324" s="35">
        <f t="shared" si="133"/>
        <v>147</v>
      </c>
      <c r="B324" s="75" t="s">
        <v>675</v>
      </c>
      <c r="C324" s="75"/>
      <c r="D324" s="37" t="s">
        <v>106</v>
      </c>
      <c r="E324" s="81" t="b">
        <v>0</v>
      </c>
      <c r="F324" s="81"/>
      <c r="G324" s="65">
        <v>46022</v>
      </c>
      <c r="H324" s="76">
        <v>1</v>
      </c>
      <c r="I324" s="76" t="s">
        <v>676</v>
      </c>
      <c r="J324" s="79"/>
      <c r="K324" s="109">
        <v>7005136564</v>
      </c>
      <c r="L324" s="109">
        <v>509019902</v>
      </c>
      <c r="M324" s="79">
        <v>1113945487</v>
      </c>
      <c r="N324" s="35" t="s">
        <v>73</v>
      </c>
      <c r="O324" s="42" t="s">
        <v>74</v>
      </c>
      <c r="P324" s="35">
        <v>17</v>
      </c>
      <c r="Q324" s="35">
        <v>5.5</v>
      </c>
      <c r="R324" s="35">
        <f t="shared" si="151"/>
        <v>93.5</v>
      </c>
      <c r="S324" s="80">
        <v>35000</v>
      </c>
      <c r="T324" s="44">
        <f t="shared" ref="T324:T326" si="172">S324*10/100</f>
        <v>3500</v>
      </c>
      <c r="U324" s="63">
        <f>S324+T324</f>
        <v>38500</v>
      </c>
      <c r="V324" s="99"/>
      <c r="W324" s="99"/>
      <c r="X324" s="52">
        <v>0</v>
      </c>
      <c r="Y324" s="48">
        <f t="shared" si="153"/>
        <v>0</v>
      </c>
      <c r="Z324" s="69">
        <v>0</v>
      </c>
      <c r="AA324" s="50">
        <f t="shared" si="167"/>
        <v>0</v>
      </c>
      <c r="AB324" s="50"/>
      <c r="AC324" s="52">
        <v>40250</v>
      </c>
      <c r="AD324" s="52">
        <f>S324*1.15-AC324</f>
        <v>0</v>
      </c>
      <c r="AE324" s="53">
        <f>S324*1.15+X324-AB324-AC324</f>
        <v>0</v>
      </c>
      <c r="AF324" s="52" t="b">
        <v>0</v>
      </c>
      <c r="AG324" s="52"/>
      <c r="AH324" s="52"/>
      <c r="AI324" s="52"/>
      <c r="AJ324" s="52"/>
      <c r="AK324" s="52"/>
      <c r="AL324" s="52"/>
      <c r="AM324" s="52" t="b">
        <v>0</v>
      </c>
      <c r="AN324" s="52"/>
      <c r="AO324" s="52"/>
      <c r="AP324" s="52"/>
      <c r="AQ324" s="52"/>
      <c r="AR324" s="52"/>
      <c r="AS324" s="52" t="b">
        <v>0</v>
      </c>
      <c r="AT324" s="52"/>
      <c r="AU324" s="52"/>
      <c r="AV324" s="52"/>
      <c r="AW324" s="52"/>
      <c r="AX324" s="52" t="str">
        <f t="shared" si="155"/>
        <v>ملتزم</v>
      </c>
      <c r="AY324" s="54" t="s">
        <v>69</v>
      </c>
      <c r="AZ324" s="43" t="s">
        <v>107</v>
      </c>
      <c r="BA324" s="55"/>
      <c r="BB324" s="55"/>
      <c r="BC324" s="55"/>
      <c r="BD324" s="54"/>
      <c r="BE324" s="68">
        <v>22252.5</v>
      </c>
      <c r="BF324" s="54"/>
      <c r="BG324" s="54"/>
      <c r="BH324" s="54"/>
      <c r="BI324" s="52" t="s">
        <v>72</v>
      </c>
      <c r="BJ324" s="54">
        <f>(U324+V324+AE324)-BD324-BE324</f>
        <v>16247.5</v>
      </c>
      <c r="BK324" s="54" t="s">
        <v>205</v>
      </c>
    </row>
    <row r="325" spans="1:63" ht="34.5" hidden="1" customHeight="1" x14ac:dyDescent="0.25">
      <c r="A325" s="35">
        <f t="shared" si="133"/>
        <v>148</v>
      </c>
      <c r="B325" s="35" t="s">
        <v>677</v>
      </c>
      <c r="C325" s="105">
        <v>20132081065</v>
      </c>
      <c r="D325" s="37" t="s">
        <v>106</v>
      </c>
      <c r="E325" s="81" t="b">
        <v>0</v>
      </c>
      <c r="F325" s="81"/>
      <c r="G325" s="113">
        <v>46022</v>
      </c>
      <c r="H325" s="35">
        <v>1</v>
      </c>
      <c r="I325" s="35">
        <v>242</v>
      </c>
      <c r="J325" s="84" t="s">
        <v>674</v>
      </c>
      <c r="K325" s="81">
        <v>7005136564</v>
      </c>
      <c r="L325" s="81">
        <v>509019902</v>
      </c>
      <c r="M325" s="81">
        <v>1113945487</v>
      </c>
      <c r="N325" s="35" t="s">
        <v>73</v>
      </c>
      <c r="O325" s="35" t="s">
        <v>97</v>
      </c>
      <c r="P325" s="35">
        <v>4</v>
      </c>
      <c r="Q325" s="35">
        <v>4</v>
      </c>
      <c r="R325" s="35">
        <f t="shared" si="151"/>
        <v>16</v>
      </c>
      <c r="S325" s="44">
        <v>30000</v>
      </c>
      <c r="T325" s="44">
        <f t="shared" si="172"/>
        <v>3000</v>
      </c>
      <c r="U325" s="63">
        <f t="shared" ref="U325:U328" si="173">S325+T325+200</f>
        <v>33200</v>
      </c>
      <c r="V325" s="44"/>
      <c r="W325" s="44"/>
      <c r="X325" s="54">
        <v>0</v>
      </c>
      <c r="Y325" s="89">
        <f t="shared" si="153"/>
        <v>0</v>
      </c>
      <c r="Z325" s="91">
        <v>0</v>
      </c>
      <c r="AA325" s="91">
        <f t="shared" si="167"/>
        <v>0</v>
      </c>
      <c r="AB325" s="91"/>
      <c r="AC325" s="54">
        <v>34500</v>
      </c>
      <c r="AD325" s="54">
        <f>S325*1.15-AC325</f>
        <v>0</v>
      </c>
      <c r="AE325" s="53">
        <f>S325*1.15+X325-AB325-AC325</f>
        <v>0</v>
      </c>
      <c r="AF325" s="52" t="b">
        <v>0</v>
      </c>
      <c r="AG325" s="52"/>
      <c r="AH325" s="52"/>
      <c r="AI325" s="52"/>
      <c r="AJ325" s="52"/>
      <c r="AK325" s="52"/>
      <c r="AL325" s="52"/>
      <c r="AM325" s="52" t="b">
        <v>0</v>
      </c>
      <c r="AN325" s="52"/>
      <c r="AO325" s="52"/>
      <c r="AP325" s="52"/>
      <c r="AQ325" s="52"/>
      <c r="AR325" s="52"/>
      <c r="AS325" s="52" t="b">
        <v>0</v>
      </c>
      <c r="AT325" s="54"/>
      <c r="AU325" s="54"/>
      <c r="AV325" s="54"/>
      <c r="AW325" s="54"/>
      <c r="AX325" s="54" t="str">
        <f t="shared" si="155"/>
        <v>ملتزم</v>
      </c>
      <c r="AY325" s="54" t="s">
        <v>69</v>
      </c>
      <c r="AZ325" s="43" t="s">
        <v>107</v>
      </c>
      <c r="BA325" s="55"/>
      <c r="BB325" s="55"/>
      <c r="BC325" s="55"/>
      <c r="BD325" s="54"/>
      <c r="BE325" s="68">
        <v>38180</v>
      </c>
      <c r="BF325" s="54"/>
      <c r="BG325" s="54"/>
      <c r="BH325" s="54"/>
      <c r="BI325" s="54" t="s">
        <v>76</v>
      </c>
      <c r="BJ325" s="54">
        <f>(U325+V325+AE325)-BD325-BE325</f>
        <v>-4980</v>
      </c>
      <c r="BK325" s="54" t="s">
        <v>205</v>
      </c>
    </row>
    <row r="326" spans="1:63" ht="34.5" hidden="1" customHeight="1" x14ac:dyDescent="0.25">
      <c r="A326" s="35">
        <f t="shared" si="133"/>
        <v>149</v>
      </c>
      <c r="B326" s="35" t="s">
        <v>677</v>
      </c>
      <c r="C326" s="105">
        <v>20141670915</v>
      </c>
      <c r="D326" s="37" t="s">
        <v>106</v>
      </c>
      <c r="E326" s="81" t="b">
        <v>0</v>
      </c>
      <c r="F326" s="81"/>
      <c r="G326" s="113">
        <v>46022</v>
      </c>
      <c r="H326" s="35">
        <v>1</v>
      </c>
      <c r="I326" s="35">
        <v>243</v>
      </c>
      <c r="J326" s="84" t="s">
        <v>674</v>
      </c>
      <c r="K326" s="81">
        <v>7005136564</v>
      </c>
      <c r="L326" s="81">
        <v>509019902</v>
      </c>
      <c r="M326" s="81">
        <v>1113945487</v>
      </c>
      <c r="N326" s="35" t="s">
        <v>73</v>
      </c>
      <c r="O326" s="35" t="s">
        <v>97</v>
      </c>
      <c r="P326" s="35">
        <v>4</v>
      </c>
      <c r="Q326" s="35">
        <v>4</v>
      </c>
      <c r="R326" s="35">
        <f t="shared" si="151"/>
        <v>16</v>
      </c>
      <c r="S326" s="44">
        <v>30000</v>
      </c>
      <c r="T326" s="44">
        <f t="shared" si="172"/>
        <v>3000</v>
      </c>
      <c r="U326" s="63">
        <f t="shared" si="173"/>
        <v>33200</v>
      </c>
      <c r="V326" s="44"/>
      <c r="W326" s="44"/>
      <c r="X326" s="54">
        <v>0</v>
      </c>
      <c r="Y326" s="89">
        <f t="shared" si="153"/>
        <v>0</v>
      </c>
      <c r="Z326" s="91">
        <v>0</v>
      </c>
      <c r="AA326" s="91">
        <f t="shared" si="167"/>
        <v>0</v>
      </c>
      <c r="AB326" s="91"/>
      <c r="AC326" s="54">
        <v>34500</v>
      </c>
      <c r="AD326" s="54">
        <f>S326*1.15-AC326</f>
        <v>0</v>
      </c>
      <c r="AE326" s="53">
        <f>S326*1.15+X326-AB326-AC326</f>
        <v>0</v>
      </c>
      <c r="AF326" s="52" t="b">
        <v>0</v>
      </c>
      <c r="AG326" s="52"/>
      <c r="AH326" s="52"/>
      <c r="AI326" s="52"/>
      <c r="AJ326" s="52"/>
      <c r="AK326" s="52"/>
      <c r="AL326" s="52"/>
      <c r="AM326" s="52" t="b">
        <v>0</v>
      </c>
      <c r="AN326" s="52"/>
      <c r="AO326" s="52"/>
      <c r="AP326" s="52"/>
      <c r="AQ326" s="52"/>
      <c r="AR326" s="52"/>
      <c r="AS326" s="52" t="b">
        <v>0</v>
      </c>
      <c r="AT326" s="54"/>
      <c r="AU326" s="54"/>
      <c r="AV326" s="54"/>
      <c r="AW326" s="54"/>
      <c r="AX326" s="54" t="str">
        <f t="shared" si="155"/>
        <v>ملتزم</v>
      </c>
      <c r="AY326" s="54" t="s">
        <v>69</v>
      </c>
      <c r="AZ326" s="43" t="s">
        <v>107</v>
      </c>
      <c r="BA326" s="55"/>
      <c r="BB326" s="55"/>
      <c r="BC326" s="55"/>
      <c r="BD326" s="54"/>
      <c r="BE326" s="68">
        <v>38180</v>
      </c>
      <c r="BF326" s="54"/>
      <c r="BG326" s="54"/>
      <c r="BH326" s="54"/>
      <c r="BI326" s="54" t="s">
        <v>76</v>
      </c>
      <c r="BJ326" s="54">
        <f>(U326+V326+AE326)-BD326-BE326</f>
        <v>-4980</v>
      </c>
      <c r="BK326" s="54" t="s">
        <v>205</v>
      </c>
    </row>
    <row r="327" spans="1:63" ht="34.5" hidden="1" customHeight="1" x14ac:dyDescent="0.25">
      <c r="A327" s="35">
        <f t="shared" si="133"/>
        <v>150</v>
      </c>
      <c r="B327" s="35" t="s">
        <v>678</v>
      </c>
      <c r="C327" s="105">
        <v>20892104850</v>
      </c>
      <c r="D327" s="37" t="s">
        <v>106</v>
      </c>
      <c r="E327" s="81" t="b">
        <v>0</v>
      </c>
      <c r="F327" s="81"/>
      <c r="G327" s="113">
        <v>46022</v>
      </c>
      <c r="H327" s="35">
        <v>2</v>
      </c>
      <c r="I327" s="35" t="s">
        <v>679</v>
      </c>
      <c r="J327" s="95" t="s">
        <v>680</v>
      </c>
      <c r="K327" s="81">
        <v>7005816249</v>
      </c>
      <c r="L327" s="81">
        <v>505486130</v>
      </c>
      <c r="M327" s="81">
        <v>1123303768</v>
      </c>
      <c r="N327" s="35" t="s">
        <v>73</v>
      </c>
      <c r="O327" s="35" t="s">
        <v>97</v>
      </c>
      <c r="P327" s="35">
        <v>4.7</v>
      </c>
      <c r="Q327" s="35">
        <v>8.5</v>
      </c>
      <c r="R327" s="35">
        <f t="shared" si="151"/>
        <v>39.950000000000003</v>
      </c>
      <c r="S327" s="44">
        <v>64000</v>
      </c>
      <c r="T327" s="44">
        <f>S327*20/100</f>
        <v>12800</v>
      </c>
      <c r="U327" s="63">
        <f t="shared" si="173"/>
        <v>77000</v>
      </c>
      <c r="V327" s="148"/>
      <c r="W327" s="148"/>
      <c r="X327" s="54">
        <v>0</v>
      </c>
      <c r="Y327" s="89">
        <f t="shared" si="153"/>
        <v>0</v>
      </c>
      <c r="Z327" s="91">
        <v>0</v>
      </c>
      <c r="AA327" s="91">
        <f t="shared" si="167"/>
        <v>0</v>
      </c>
      <c r="AB327" s="91"/>
      <c r="AC327" s="54">
        <v>73600</v>
      </c>
      <c r="AD327" s="54">
        <f>S327*1.15-AC327</f>
        <v>0</v>
      </c>
      <c r="AE327" s="53">
        <f>S327*1.15+X327-AB327-AC327</f>
        <v>0</v>
      </c>
      <c r="AF327" s="52" t="b">
        <v>0</v>
      </c>
      <c r="AG327" s="52"/>
      <c r="AH327" s="52"/>
      <c r="AI327" s="52"/>
      <c r="AJ327" s="52"/>
      <c r="AK327" s="52"/>
      <c r="AL327" s="52"/>
      <c r="AM327" s="52" t="b">
        <v>0</v>
      </c>
      <c r="AN327" s="52"/>
      <c r="AO327" s="52"/>
      <c r="AP327" s="52"/>
      <c r="AQ327" s="52"/>
      <c r="AR327" s="52"/>
      <c r="AS327" s="52" t="b">
        <v>0</v>
      </c>
      <c r="AT327" s="54"/>
      <c r="AU327" s="54"/>
      <c r="AV327" s="54"/>
      <c r="AW327" s="54"/>
      <c r="AX327" s="54" t="str">
        <f t="shared" si="155"/>
        <v>ملتزم</v>
      </c>
      <c r="AY327" s="54" t="s">
        <v>69</v>
      </c>
      <c r="AZ327" s="43" t="s">
        <v>107</v>
      </c>
      <c r="BA327" s="55"/>
      <c r="BB327" s="55"/>
      <c r="BC327" s="55"/>
      <c r="BD327" s="54"/>
      <c r="BE327" s="68">
        <v>66435</v>
      </c>
      <c r="BF327" s="54"/>
      <c r="BG327" s="54"/>
      <c r="BH327" s="54"/>
      <c r="BI327" s="54" t="s">
        <v>76</v>
      </c>
      <c r="BJ327" s="54">
        <f>(U327+V327+AE327)-BD327-BE327</f>
        <v>10565</v>
      </c>
      <c r="BK327" s="54" t="s">
        <v>113</v>
      </c>
    </row>
    <row r="328" spans="1:63" ht="34.5" hidden="1" customHeight="1" x14ac:dyDescent="0.25">
      <c r="A328" s="35">
        <f t="shared" si="133"/>
        <v>151</v>
      </c>
      <c r="B328" s="35" t="s">
        <v>681</v>
      </c>
      <c r="C328" s="105">
        <v>20324610230</v>
      </c>
      <c r="D328" s="37" t="s">
        <v>106</v>
      </c>
      <c r="E328" s="81" t="b">
        <v>0</v>
      </c>
      <c r="F328" s="81"/>
      <c r="G328" s="113">
        <v>46022</v>
      </c>
      <c r="H328" s="35">
        <v>2</v>
      </c>
      <c r="I328" s="125" t="s">
        <v>682</v>
      </c>
      <c r="J328" s="110">
        <v>10050</v>
      </c>
      <c r="K328" s="114">
        <v>7016957255</v>
      </c>
      <c r="L328" s="114">
        <v>556557514</v>
      </c>
      <c r="M328" s="114">
        <v>2418559684</v>
      </c>
      <c r="N328" s="35" t="s">
        <v>73</v>
      </c>
      <c r="O328" s="35" t="s">
        <v>97</v>
      </c>
      <c r="P328" s="35">
        <v>8.15</v>
      </c>
      <c r="Q328" s="35">
        <v>4</v>
      </c>
      <c r="R328" s="35">
        <f t="shared" si="151"/>
        <v>32.6</v>
      </c>
      <c r="S328" s="44">
        <v>60000</v>
      </c>
      <c r="T328" s="44">
        <f t="shared" ref="T328:T348" si="174">S328*10/100</f>
        <v>6000</v>
      </c>
      <c r="U328" s="63">
        <f t="shared" si="173"/>
        <v>66200</v>
      </c>
      <c r="V328" s="44"/>
      <c r="W328" s="44"/>
      <c r="X328" s="115">
        <v>0</v>
      </c>
      <c r="Y328" s="89">
        <f t="shared" si="153"/>
        <v>0</v>
      </c>
      <c r="Z328" s="91">
        <v>0</v>
      </c>
      <c r="AA328" s="91">
        <v>0</v>
      </c>
      <c r="AB328" s="91"/>
      <c r="AC328" s="54">
        <v>69000</v>
      </c>
      <c r="AD328" s="54">
        <f>S328*1.15-AC328</f>
        <v>0</v>
      </c>
      <c r="AE328" s="53">
        <f>S328*1.15+X328-AB328-AC328</f>
        <v>0</v>
      </c>
      <c r="AF328" s="54" t="b">
        <v>1</v>
      </c>
      <c r="AG328" s="134">
        <v>45667</v>
      </c>
      <c r="AH328" s="54">
        <v>50753</v>
      </c>
      <c r="AI328" s="54" t="s">
        <v>68</v>
      </c>
      <c r="AJ328" s="52" t="s">
        <v>136</v>
      </c>
      <c r="AK328" s="128" t="s">
        <v>683</v>
      </c>
      <c r="AL328" s="128"/>
      <c r="AM328" s="54" t="b">
        <v>0</v>
      </c>
      <c r="AN328" s="117">
        <v>45971</v>
      </c>
      <c r="AO328" s="54">
        <v>50753</v>
      </c>
      <c r="AP328" s="54"/>
      <c r="AQ328" s="54"/>
      <c r="AR328" s="54"/>
      <c r="AS328" s="54" t="b">
        <v>0</v>
      </c>
      <c r="AT328" s="118"/>
      <c r="AU328" s="54"/>
      <c r="AV328" s="54"/>
      <c r="AW328" s="54"/>
      <c r="AX328" s="54" t="str">
        <f t="shared" si="155"/>
        <v>ملتزم</v>
      </c>
      <c r="AY328" s="54" t="s">
        <v>77</v>
      </c>
      <c r="AZ328" s="43" t="s">
        <v>107</v>
      </c>
      <c r="BA328" s="55"/>
      <c r="BB328" s="55"/>
      <c r="BC328" s="55"/>
      <c r="BD328" s="54"/>
      <c r="BE328" s="68"/>
      <c r="BF328" s="54"/>
      <c r="BG328" s="54"/>
      <c r="BH328" s="54"/>
      <c r="BI328" s="52" t="s">
        <v>76</v>
      </c>
      <c r="BJ328" s="54">
        <f>(U328+V328+AE328)-BD328-BE328</f>
        <v>66200</v>
      </c>
      <c r="BK328" s="54"/>
    </row>
    <row r="329" spans="1:63" ht="34.5" hidden="1" customHeight="1" x14ac:dyDescent="0.25">
      <c r="A329" s="35">
        <f t="shared" si="133"/>
        <v>152</v>
      </c>
      <c r="B329" s="35" t="s">
        <v>684</v>
      </c>
      <c r="C329" s="105"/>
      <c r="D329" s="81" t="s">
        <v>134</v>
      </c>
      <c r="E329" s="81" t="b">
        <v>1</v>
      </c>
      <c r="F329" s="164">
        <v>45879</v>
      </c>
      <c r="G329" s="65"/>
      <c r="H329" s="35">
        <v>2</v>
      </c>
      <c r="I329" s="35" t="s">
        <v>685</v>
      </c>
      <c r="J329" s="95" t="s">
        <v>548</v>
      </c>
      <c r="K329" s="81">
        <v>7012725433</v>
      </c>
      <c r="L329" s="81">
        <v>505606217</v>
      </c>
      <c r="M329" s="81">
        <v>1007733171</v>
      </c>
      <c r="N329" s="35" t="s">
        <v>73</v>
      </c>
      <c r="O329" s="35" t="s">
        <v>97</v>
      </c>
      <c r="P329" s="35">
        <v>10</v>
      </c>
      <c r="Q329" s="35">
        <v>5.2</v>
      </c>
      <c r="R329" s="35">
        <f t="shared" si="151"/>
        <v>52</v>
      </c>
      <c r="S329" s="44">
        <v>68000</v>
      </c>
      <c r="T329" s="44">
        <f t="shared" si="174"/>
        <v>6800</v>
      </c>
      <c r="U329" s="63">
        <f t="shared" ref="U329:U348" si="175">S329+T329</f>
        <v>74800</v>
      </c>
      <c r="V329" s="106"/>
      <c r="W329" s="106"/>
      <c r="X329" s="45">
        <v>0</v>
      </c>
      <c r="Y329" s="48">
        <f t="shared" si="153"/>
        <v>0</v>
      </c>
      <c r="Z329" s="50">
        <v>0</v>
      </c>
      <c r="AA329" s="50">
        <f t="shared" ref="AA329:AA350" si="176">Z329/1.15</f>
        <v>0</v>
      </c>
      <c r="AB329" s="50"/>
      <c r="AC329" s="52">
        <v>78200</v>
      </c>
      <c r="AD329" s="52">
        <f>S329*1.15-AC329</f>
        <v>0</v>
      </c>
      <c r="AE329" s="53">
        <f>S329*1.15+X329-AB329-AC329</f>
        <v>0</v>
      </c>
      <c r="AF329" s="52" t="b">
        <v>1</v>
      </c>
      <c r="AG329" s="52" t="s">
        <v>67</v>
      </c>
      <c r="AH329" s="52">
        <v>64780</v>
      </c>
      <c r="AI329" s="54" t="s">
        <v>68</v>
      </c>
      <c r="AJ329" s="52" t="s">
        <v>136</v>
      </c>
      <c r="AK329" s="116" t="s">
        <v>686</v>
      </c>
      <c r="AL329" s="116"/>
      <c r="AM329" s="52" t="b">
        <v>0</v>
      </c>
      <c r="AN329" s="117">
        <v>45971</v>
      </c>
      <c r="AO329" s="52">
        <v>64780</v>
      </c>
      <c r="AP329" s="54"/>
      <c r="AQ329" s="54"/>
      <c r="AR329" s="52"/>
      <c r="AS329" s="52" t="b">
        <v>0</v>
      </c>
      <c r="AT329" s="118"/>
      <c r="AU329" s="52"/>
      <c r="AV329" s="52"/>
      <c r="AW329" s="52"/>
      <c r="AX329" s="52" t="str">
        <f t="shared" si="155"/>
        <v>ملتزم</v>
      </c>
      <c r="AY329" s="54" t="s">
        <v>77</v>
      </c>
      <c r="AZ329" s="43" t="s">
        <v>70</v>
      </c>
      <c r="BA329" s="55" t="s">
        <v>687</v>
      </c>
      <c r="BB329" s="55"/>
      <c r="BC329" s="55"/>
      <c r="BD329" s="54"/>
      <c r="BE329" s="68">
        <v>0</v>
      </c>
      <c r="BF329" s="54"/>
      <c r="BG329" s="54"/>
      <c r="BH329" s="54"/>
      <c r="BI329" s="54" t="s">
        <v>76</v>
      </c>
      <c r="BJ329" s="54">
        <f>(U329+V329+AE329)-BD329-BE329</f>
        <v>74800</v>
      </c>
      <c r="BK329" s="54"/>
    </row>
    <row r="330" spans="1:63" ht="34.5" hidden="1" customHeight="1" x14ac:dyDescent="0.25">
      <c r="A330" s="35">
        <f t="shared" si="133"/>
        <v>153</v>
      </c>
      <c r="B330" s="57" t="s">
        <v>684</v>
      </c>
      <c r="C330" s="57"/>
      <c r="D330" s="81" t="s">
        <v>134</v>
      </c>
      <c r="E330" s="81" t="b">
        <v>1</v>
      </c>
      <c r="F330" s="164">
        <v>45879</v>
      </c>
      <c r="G330" s="65"/>
      <c r="H330" s="42">
        <v>3</v>
      </c>
      <c r="I330" s="42" t="s">
        <v>688</v>
      </c>
      <c r="J330" s="59" t="s">
        <v>548</v>
      </c>
      <c r="K330" s="61">
        <v>7012725433</v>
      </c>
      <c r="L330" s="61">
        <v>505606217</v>
      </c>
      <c r="M330" s="61">
        <v>1007733171</v>
      </c>
      <c r="N330" s="35" t="s">
        <v>73</v>
      </c>
      <c r="O330" s="42" t="s">
        <v>74</v>
      </c>
      <c r="P330" s="35">
        <v>8.4</v>
      </c>
      <c r="Q330" s="35">
        <v>5.8</v>
      </c>
      <c r="R330" s="35">
        <f t="shared" si="151"/>
        <v>48.72</v>
      </c>
      <c r="S330" s="62">
        <v>77000</v>
      </c>
      <c r="T330" s="44">
        <f t="shared" si="174"/>
        <v>7700</v>
      </c>
      <c r="U330" s="63">
        <f t="shared" si="175"/>
        <v>84700</v>
      </c>
      <c r="V330" s="64"/>
      <c r="W330" s="64"/>
      <c r="X330" s="52">
        <v>123753.5</v>
      </c>
      <c r="Y330" s="48">
        <f t="shared" si="153"/>
        <v>107611.73913043478</v>
      </c>
      <c r="Z330" s="69">
        <v>0</v>
      </c>
      <c r="AA330" s="50">
        <f t="shared" si="176"/>
        <v>0</v>
      </c>
      <c r="AB330" s="50"/>
      <c r="AC330" s="52">
        <v>50000</v>
      </c>
      <c r="AD330" s="52">
        <f>S330*1.15-AC330</f>
        <v>38550</v>
      </c>
      <c r="AE330" s="53">
        <f>S330*1.15+X330-AB330-AC330</f>
        <v>162303.5</v>
      </c>
      <c r="AF330" s="52" t="b">
        <v>0</v>
      </c>
      <c r="AG330" s="52"/>
      <c r="AH330" s="52"/>
      <c r="AI330" s="52"/>
      <c r="AJ330" s="52"/>
      <c r="AK330" s="52"/>
      <c r="AL330" s="52"/>
      <c r="AM330" s="52" t="b">
        <v>0</v>
      </c>
      <c r="AN330" s="52"/>
      <c r="AO330" s="52"/>
      <c r="AP330" s="52"/>
      <c r="AQ330" s="52"/>
      <c r="AR330" s="52"/>
      <c r="AS330" s="52" t="b">
        <v>0</v>
      </c>
      <c r="AT330" s="52"/>
      <c r="AU330" s="52"/>
      <c r="AV330" s="52"/>
      <c r="AW330" s="52"/>
      <c r="AX330" s="52" t="str">
        <f t="shared" si="155"/>
        <v>غير ملتزم</v>
      </c>
      <c r="AY330" s="54" t="s">
        <v>77</v>
      </c>
      <c r="AZ330" s="43"/>
      <c r="BA330" s="55" t="s">
        <v>75</v>
      </c>
      <c r="BB330" s="55"/>
      <c r="BC330" s="55"/>
      <c r="BD330" s="54"/>
      <c r="BE330" s="68">
        <v>0</v>
      </c>
      <c r="BF330" s="54"/>
      <c r="BG330" s="54"/>
      <c r="BH330" s="54"/>
      <c r="BI330" s="54"/>
      <c r="BJ330" s="54">
        <f>(U330+V330+AE330)-BD330-BE330</f>
        <v>247003.5</v>
      </c>
      <c r="BK330" s="54"/>
    </row>
    <row r="331" spans="1:63" ht="34.5" hidden="1" customHeight="1" x14ac:dyDescent="0.25">
      <c r="A331" s="35">
        <f t="shared" si="133"/>
        <v>154</v>
      </c>
      <c r="B331" s="35" t="s">
        <v>689</v>
      </c>
      <c r="C331" s="105"/>
      <c r="D331" s="81" t="s">
        <v>134</v>
      </c>
      <c r="E331" s="81" t="b">
        <v>1</v>
      </c>
      <c r="F331" s="164">
        <v>45879</v>
      </c>
      <c r="G331" s="135"/>
      <c r="H331" s="35">
        <v>1</v>
      </c>
      <c r="I331" s="35">
        <v>459</v>
      </c>
      <c r="J331" s="95" t="s">
        <v>690</v>
      </c>
      <c r="K331" s="81"/>
      <c r="L331" s="81"/>
      <c r="M331" s="81">
        <v>1108441518</v>
      </c>
      <c r="N331" s="35" t="s">
        <v>73</v>
      </c>
      <c r="O331" s="35" t="s">
        <v>97</v>
      </c>
      <c r="P331" s="35">
        <v>4.0999999999999996</v>
      </c>
      <c r="Q331" s="35">
        <v>4.5999999999999996</v>
      </c>
      <c r="R331" s="35">
        <f t="shared" si="151"/>
        <v>18.859999999999996</v>
      </c>
      <c r="S331" s="43">
        <v>30000</v>
      </c>
      <c r="T331" s="44">
        <f t="shared" si="174"/>
        <v>3000</v>
      </c>
      <c r="U331" s="63">
        <f t="shared" si="175"/>
        <v>33000</v>
      </c>
      <c r="V331" s="106"/>
      <c r="W331" s="106"/>
      <c r="X331" s="45">
        <v>16525</v>
      </c>
      <c r="Y331" s="48">
        <f t="shared" si="153"/>
        <v>14369.565217391306</v>
      </c>
      <c r="Z331" s="50">
        <v>0</v>
      </c>
      <c r="AA331" s="50">
        <f t="shared" si="176"/>
        <v>0</v>
      </c>
      <c r="AB331" s="50">
        <v>0</v>
      </c>
      <c r="AC331" s="52">
        <v>0</v>
      </c>
      <c r="AD331" s="52">
        <f>S331*1.15-AC331</f>
        <v>34500</v>
      </c>
      <c r="AE331" s="53">
        <f>S331*1.15+X331-AB331-AC331</f>
        <v>51025</v>
      </c>
      <c r="AF331" s="52" t="b">
        <v>0</v>
      </c>
      <c r="AG331" s="52"/>
      <c r="AH331" s="52"/>
      <c r="AI331" s="52"/>
      <c r="AJ331" s="52"/>
      <c r="AK331" s="52"/>
      <c r="AL331" s="52"/>
      <c r="AM331" s="52" t="b">
        <v>0</v>
      </c>
      <c r="AN331" s="52"/>
      <c r="AO331" s="52"/>
      <c r="AP331" s="52"/>
      <c r="AQ331" s="52"/>
      <c r="AR331" s="52"/>
      <c r="AS331" s="52" t="b">
        <v>0</v>
      </c>
      <c r="AT331" s="52"/>
      <c r="AU331" s="52"/>
      <c r="AV331" s="52"/>
      <c r="AW331" s="52"/>
      <c r="AX331" s="52" t="str">
        <f t="shared" si="155"/>
        <v>غير ملتزم</v>
      </c>
      <c r="AY331" s="54" t="s">
        <v>140</v>
      </c>
      <c r="AZ331" s="43" t="s">
        <v>103</v>
      </c>
      <c r="BA331" s="55" t="s">
        <v>82</v>
      </c>
      <c r="BB331" s="55"/>
      <c r="BC331" s="55"/>
      <c r="BD331" s="54"/>
      <c r="BE331" s="68">
        <v>0</v>
      </c>
      <c r="BF331" s="54"/>
      <c r="BG331" s="54"/>
      <c r="BH331" s="54"/>
      <c r="BI331" s="54" t="s">
        <v>76</v>
      </c>
      <c r="BJ331" s="54">
        <f>(U331+V331+AE331)-BD331-BE331</f>
        <v>84025</v>
      </c>
      <c r="BK331" s="54"/>
    </row>
    <row r="332" spans="1:63" ht="34.5" hidden="1" customHeight="1" x14ac:dyDescent="0.25">
      <c r="A332" s="35">
        <f t="shared" si="133"/>
        <v>155</v>
      </c>
      <c r="B332" s="35" t="s">
        <v>691</v>
      </c>
      <c r="C332" s="105"/>
      <c r="D332" s="98" t="s">
        <v>94</v>
      </c>
      <c r="E332" s="98" t="b">
        <v>0</v>
      </c>
      <c r="F332" s="98"/>
      <c r="G332" s="65"/>
      <c r="H332" s="35">
        <v>2</v>
      </c>
      <c r="I332" s="35" t="s">
        <v>692</v>
      </c>
      <c r="J332" s="92" t="s">
        <v>693</v>
      </c>
      <c r="K332" s="85">
        <v>7006822253</v>
      </c>
      <c r="L332" s="85">
        <v>506657636</v>
      </c>
      <c r="M332" s="85">
        <v>1007200437</v>
      </c>
      <c r="N332" s="35" t="s">
        <v>73</v>
      </c>
      <c r="O332" s="35" t="s">
        <v>97</v>
      </c>
      <c r="P332" s="35">
        <v>10.65</v>
      </c>
      <c r="Q332" s="35">
        <v>4.6500000000000004</v>
      </c>
      <c r="R332" s="35">
        <f t="shared" si="151"/>
        <v>49.522500000000008</v>
      </c>
      <c r="S332" s="43">
        <v>60000</v>
      </c>
      <c r="T332" s="44">
        <f t="shared" si="174"/>
        <v>6000</v>
      </c>
      <c r="U332" s="63">
        <f t="shared" si="175"/>
        <v>66000</v>
      </c>
      <c r="V332" s="106"/>
      <c r="W332" s="106"/>
      <c r="X332" s="45">
        <v>1050</v>
      </c>
      <c r="Y332" s="48">
        <f t="shared" si="153"/>
        <v>913.04347826086962</v>
      </c>
      <c r="Z332" s="50">
        <v>0</v>
      </c>
      <c r="AA332" s="50">
        <f t="shared" si="176"/>
        <v>0</v>
      </c>
      <c r="AB332" s="50">
        <v>1050</v>
      </c>
      <c r="AC332" s="52">
        <v>13850</v>
      </c>
      <c r="AD332" s="52">
        <f>S332*1.15-AC332</f>
        <v>55150</v>
      </c>
      <c r="AE332" s="53">
        <f>S332*1.15+X332-AB332-AC332</f>
        <v>55150</v>
      </c>
      <c r="AF332" s="52" t="b">
        <v>0</v>
      </c>
      <c r="AG332" s="52"/>
      <c r="AH332" s="52"/>
      <c r="AI332" s="52"/>
      <c r="AJ332" s="52"/>
      <c r="AK332" s="52"/>
      <c r="AL332" s="52"/>
      <c r="AM332" s="52" t="b">
        <v>0</v>
      </c>
      <c r="AN332" s="52"/>
      <c r="AO332" s="52"/>
      <c r="AP332" s="52"/>
      <c r="AQ332" s="52"/>
      <c r="AR332" s="52"/>
      <c r="AS332" s="52" t="b">
        <v>0</v>
      </c>
      <c r="AT332" s="52"/>
      <c r="AU332" s="52"/>
      <c r="AV332" s="52"/>
      <c r="AW332" s="52"/>
      <c r="AX332" s="52" t="str">
        <f t="shared" si="155"/>
        <v>غير ملتزم</v>
      </c>
      <c r="AY332" s="54" t="s">
        <v>140</v>
      </c>
      <c r="AZ332" s="43" t="s">
        <v>81</v>
      </c>
      <c r="BA332" s="36" t="s">
        <v>694</v>
      </c>
      <c r="BB332" s="36"/>
      <c r="BC332" s="36"/>
      <c r="BD332" s="54"/>
      <c r="BE332" s="68">
        <v>0</v>
      </c>
      <c r="BF332" s="54"/>
      <c r="BG332" s="54"/>
      <c r="BH332" s="54"/>
      <c r="BI332" s="54" t="s">
        <v>76</v>
      </c>
      <c r="BJ332" s="54">
        <f>(U332+V332+AE332)-BD332-BE332</f>
        <v>121150</v>
      </c>
      <c r="BK332" s="54"/>
    </row>
    <row r="333" spans="1:63" ht="34.5" hidden="1" customHeight="1" x14ac:dyDescent="0.25">
      <c r="A333" s="35">
        <f t="shared" si="133"/>
        <v>156</v>
      </c>
      <c r="B333" s="35" t="s">
        <v>695</v>
      </c>
      <c r="C333" s="35"/>
      <c r="D333" s="81" t="s">
        <v>100</v>
      </c>
      <c r="E333" s="81" t="b">
        <v>0</v>
      </c>
      <c r="F333" s="81"/>
      <c r="G333" s="65"/>
      <c r="H333" s="35">
        <v>1</v>
      </c>
      <c r="I333" s="35">
        <v>102</v>
      </c>
      <c r="J333" s="85" t="s">
        <v>0</v>
      </c>
      <c r="K333" s="85"/>
      <c r="L333" s="81"/>
      <c r="M333" s="81"/>
      <c r="N333" s="35" t="s">
        <v>64</v>
      </c>
      <c r="O333" s="42" t="s">
        <v>65</v>
      </c>
      <c r="P333" s="35">
        <v>7.8</v>
      </c>
      <c r="Q333" s="35">
        <v>6.7</v>
      </c>
      <c r="R333" s="35">
        <f t="shared" si="151"/>
        <v>52.26</v>
      </c>
      <c r="S333" s="43">
        <v>26000</v>
      </c>
      <c r="T333" s="44">
        <f t="shared" si="174"/>
        <v>2600</v>
      </c>
      <c r="U333" s="63">
        <f t="shared" si="175"/>
        <v>28600</v>
      </c>
      <c r="V333" s="46">
        <v>33000</v>
      </c>
      <c r="W333" s="46"/>
      <c r="X333" s="47">
        <v>37137</v>
      </c>
      <c r="Y333" s="48">
        <f t="shared" si="153"/>
        <v>32293.043478260872</v>
      </c>
      <c r="Z333" s="49">
        <v>0</v>
      </c>
      <c r="AA333" s="50">
        <f t="shared" si="176"/>
        <v>0</v>
      </c>
      <c r="AB333" s="50"/>
      <c r="AC333" s="51">
        <v>29900</v>
      </c>
      <c r="AD333" s="52">
        <f>S333*1.15-AC333</f>
        <v>0</v>
      </c>
      <c r="AE333" s="53">
        <f>S333*1.15+X333-AB333-AC333</f>
        <v>37137</v>
      </c>
      <c r="AF333" s="52" t="b">
        <v>0</v>
      </c>
      <c r="AG333" s="52"/>
      <c r="AH333" s="52"/>
      <c r="AI333" s="52"/>
      <c r="AJ333" s="52"/>
      <c r="AK333" s="52"/>
      <c r="AL333" s="52"/>
      <c r="AM333" s="52" t="b">
        <v>0</v>
      </c>
      <c r="AN333" s="52"/>
      <c r="AO333" s="52"/>
      <c r="AP333" s="52"/>
      <c r="AQ333" s="52"/>
      <c r="AR333" s="52"/>
      <c r="AS333" s="52" t="b">
        <v>0</v>
      </c>
      <c r="AT333" s="52"/>
      <c r="AU333" s="52"/>
      <c r="AV333" s="52"/>
      <c r="AW333" s="52"/>
      <c r="AX333" s="52" t="str">
        <f t="shared" si="155"/>
        <v>غير ملتزم</v>
      </c>
      <c r="AY333" s="54" t="s">
        <v>77</v>
      </c>
      <c r="AZ333" s="43"/>
      <c r="BA333" s="55"/>
      <c r="BB333" s="55"/>
      <c r="BC333" s="55"/>
      <c r="BD333" s="54"/>
      <c r="BE333" s="54"/>
      <c r="BF333" s="54"/>
      <c r="BG333" s="54"/>
      <c r="BH333" s="54"/>
      <c r="BI333" s="54" t="s">
        <v>76</v>
      </c>
      <c r="BJ333" s="54">
        <f>(U333+V333+AE333)-BD333-BE333</f>
        <v>98737</v>
      </c>
      <c r="BK333" s="54"/>
    </row>
    <row r="334" spans="1:63" ht="34.5" hidden="1" customHeight="1" x14ac:dyDescent="0.25">
      <c r="A334" s="35">
        <f t="shared" si="133"/>
        <v>157</v>
      </c>
      <c r="B334" s="35" t="s">
        <v>696</v>
      </c>
      <c r="C334" s="35"/>
      <c r="D334" s="81" t="s">
        <v>134</v>
      </c>
      <c r="E334" s="81" t="b">
        <v>0</v>
      </c>
      <c r="F334" s="81"/>
      <c r="G334" s="65"/>
      <c r="H334" s="35">
        <v>1</v>
      </c>
      <c r="I334" s="35">
        <v>93</v>
      </c>
      <c r="J334" s="93" t="s">
        <v>697</v>
      </c>
      <c r="K334" s="85">
        <v>7011608895</v>
      </c>
      <c r="L334" s="81">
        <v>561271971</v>
      </c>
      <c r="M334" s="81">
        <v>1014096562</v>
      </c>
      <c r="N334" s="35" t="s">
        <v>64</v>
      </c>
      <c r="O334" s="42" t="s">
        <v>65</v>
      </c>
      <c r="P334" s="35">
        <v>7.8</v>
      </c>
      <c r="Q334" s="35">
        <v>6.7</v>
      </c>
      <c r="R334" s="35">
        <f t="shared" si="151"/>
        <v>52.26</v>
      </c>
      <c r="S334" s="43">
        <v>26000</v>
      </c>
      <c r="T334" s="44">
        <f t="shared" si="174"/>
        <v>2600</v>
      </c>
      <c r="U334" s="63">
        <f t="shared" si="175"/>
        <v>28600</v>
      </c>
      <c r="V334" s="129">
        <v>28000</v>
      </c>
      <c r="W334" s="129"/>
      <c r="X334" s="51"/>
      <c r="Y334" s="48">
        <f t="shared" si="153"/>
        <v>0</v>
      </c>
      <c r="Z334" s="49">
        <v>0</v>
      </c>
      <c r="AA334" s="50">
        <f t="shared" si="176"/>
        <v>0</v>
      </c>
      <c r="AB334" s="50"/>
      <c r="AC334" s="51">
        <v>27400</v>
      </c>
      <c r="AD334" s="52">
        <f>S334*1.15-AC334</f>
        <v>2499.9999999999964</v>
      </c>
      <c r="AE334" s="53">
        <f>S334*1.15+X334-AB334-AC334</f>
        <v>2499.9999999999964</v>
      </c>
      <c r="AF334" s="52" t="b">
        <v>0</v>
      </c>
      <c r="AG334" s="52"/>
      <c r="AH334" s="52"/>
      <c r="AI334" s="52"/>
      <c r="AJ334" s="52"/>
      <c r="AK334" s="52"/>
      <c r="AL334" s="52"/>
      <c r="AM334" s="52" t="b">
        <v>0</v>
      </c>
      <c r="AN334" s="52"/>
      <c r="AO334" s="52"/>
      <c r="AP334" s="52"/>
      <c r="AQ334" s="52"/>
      <c r="AR334" s="52"/>
      <c r="AS334" s="52" t="b">
        <v>0</v>
      </c>
      <c r="AT334" s="52"/>
      <c r="AU334" s="52"/>
      <c r="AV334" s="52"/>
      <c r="AW334" s="52"/>
      <c r="AX334" s="52" t="str">
        <f t="shared" si="155"/>
        <v>غير ملتزم</v>
      </c>
      <c r="AY334" s="54" t="s">
        <v>77</v>
      </c>
      <c r="AZ334" s="43" t="s">
        <v>70</v>
      </c>
      <c r="BA334" s="70" t="s">
        <v>75</v>
      </c>
      <c r="BB334" s="70"/>
      <c r="BC334" s="70"/>
      <c r="BD334" s="54"/>
      <c r="BE334" s="54"/>
      <c r="BF334" s="54"/>
      <c r="BG334" s="54"/>
      <c r="BH334" s="54"/>
      <c r="BI334" s="54" t="s">
        <v>76</v>
      </c>
      <c r="BJ334" s="54">
        <f>(U334+V334+AE334)-BD334-BE334</f>
        <v>59100</v>
      </c>
      <c r="BK334" s="54"/>
    </row>
    <row r="335" spans="1:63" ht="34.5" hidden="1" customHeight="1" x14ac:dyDescent="0.25">
      <c r="A335" s="35">
        <f t="shared" si="133"/>
        <v>158</v>
      </c>
      <c r="B335" s="35" t="s">
        <v>698</v>
      </c>
      <c r="C335" s="105">
        <v>20334504985</v>
      </c>
      <c r="D335" s="37" t="s">
        <v>106</v>
      </c>
      <c r="E335" s="81" t="b">
        <v>0</v>
      </c>
      <c r="F335" s="81"/>
      <c r="G335" s="65">
        <v>46022</v>
      </c>
      <c r="H335" s="35">
        <v>1</v>
      </c>
      <c r="I335" s="35">
        <v>451</v>
      </c>
      <c r="J335" s="95" t="s">
        <v>699</v>
      </c>
      <c r="K335" s="87">
        <v>7016891488</v>
      </c>
      <c r="L335" s="87">
        <v>545725841</v>
      </c>
      <c r="M335" s="81">
        <v>1077505436</v>
      </c>
      <c r="N335" s="35" t="s">
        <v>73</v>
      </c>
      <c r="O335" s="35" t="s">
        <v>97</v>
      </c>
      <c r="P335" s="35">
        <v>4</v>
      </c>
      <c r="Q335" s="35">
        <v>4</v>
      </c>
      <c r="R335" s="35">
        <f t="shared" si="151"/>
        <v>16</v>
      </c>
      <c r="S335" s="43">
        <v>30000</v>
      </c>
      <c r="T335" s="44">
        <f t="shared" si="174"/>
        <v>3000</v>
      </c>
      <c r="U335" s="63">
        <f t="shared" si="175"/>
        <v>33000</v>
      </c>
      <c r="V335" s="168"/>
      <c r="W335" s="140"/>
      <c r="X335" s="45"/>
      <c r="Y335" s="48">
        <f t="shared" si="153"/>
        <v>0</v>
      </c>
      <c r="Z335" s="50">
        <v>0</v>
      </c>
      <c r="AA335" s="50">
        <f t="shared" si="176"/>
        <v>0</v>
      </c>
      <c r="AB335" s="50">
        <v>0</v>
      </c>
      <c r="AC335" s="52">
        <v>34500</v>
      </c>
      <c r="AD335" s="52">
        <v>0</v>
      </c>
      <c r="AE335" s="53">
        <f>S335*1.15+X335-AB335-AC335</f>
        <v>0</v>
      </c>
      <c r="AF335" s="52" t="b">
        <v>0</v>
      </c>
      <c r="AG335" s="52"/>
      <c r="AH335" s="52"/>
      <c r="AI335" s="52"/>
      <c r="AJ335" s="52"/>
      <c r="AK335" s="52"/>
      <c r="AL335" s="52"/>
      <c r="AM335" s="52" t="b">
        <v>0</v>
      </c>
      <c r="AN335" s="52"/>
      <c r="AO335" s="52"/>
      <c r="AP335" s="52"/>
      <c r="AQ335" s="52"/>
      <c r="AR335" s="52"/>
      <c r="AS335" s="52" t="b">
        <v>0</v>
      </c>
      <c r="AT335" s="52"/>
      <c r="AU335" s="52"/>
      <c r="AV335" s="52"/>
      <c r="AW335" s="52"/>
      <c r="AX335" s="52" t="str">
        <f t="shared" si="155"/>
        <v>ملتزم</v>
      </c>
      <c r="AY335" s="54" t="s">
        <v>69</v>
      </c>
      <c r="AZ335" s="43" t="s">
        <v>107</v>
      </c>
      <c r="BA335" s="55"/>
      <c r="BB335" s="55"/>
      <c r="BC335" s="55"/>
      <c r="BD335" s="54"/>
      <c r="BE335" s="68">
        <v>28635</v>
      </c>
      <c r="BF335" s="54"/>
      <c r="BG335" s="54"/>
      <c r="BH335" s="54"/>
      <c r="BI335" s="54" t="s">
        <v>76</v>
      </c>
      <c r="BJ335" s="54">
        <f>(U335+V335+AE335)-BD335-BE335</f>
        <v>4365</v>
      </c>
      <c r="BK335" s="54" t="s">
        <v>113</v>
      </c>
    </row>
    <row r="336" spans="1:63" ht="34.5" hidden="1" customHeight="1" x14ac:dyDescent="0.25">
      <c r="A336" s="35">
        <f t="shared" si="133"/>
        <v>159</v>
      </c>
      <c r="B336" s="35" t="s">
        <v>698</v>
      </c>
      <c r="C336" s="105">
        <v>20577338168</v>
      </c>
      <c r="D336" s="37" t="s">
        <v>106</v>
      </c>
      <c r="E336" s="81" t="b">
        <v>0</v>
      </c>
      <c r="F336" s="81"/>
      <c r="G336" s="65">
        <v>46022</v>
      </c>
      <c r="H336" s="35">
        <v>1</v>
      </c>
      <c r="I336" s="35">
        <v>483</v>
      </c>
      <c r="J336" s="95" t="s">
        <v>700</v>
      </c>
      <c r="K336" s="87">
        <v>7016891488</v>
      </c>
      <c r="L336" s="87">
        <v>545725841</v>
      </c>
      <c r="M336" s="81">
        <v>1077505436</v>
      </c>
      <c r="N336" s="35" t="s">
        <v>73</v>
      </c>
      <c r="O336" s="35" t="s">
        <v>97</v>
      </c>
      <c r="P336" s="35">
        <v>4</v>
      </c>
      <c r="Q336" s="35">
        <v>4</v>
      </c>
      <c r="R336" s="35">
        <f t="shared" si="151"/>
        <v>16</v>
      </c>
      <c r="S336" s="43">
        <v>34000</v>
      </c>
      <c r="T336" s="44">
        <f t="shared" si="174"/>
        <v>3400</v>
      </c>
      <c r="U336" s="63">
        <f t="shared" si="175"/>
        <v>37400</v>
      </c>
      <c r="V336" s="106"/>
      <c r="W336" s="106"/>
      <c r="X336" s="52"/>
      <c r="Y336" s="48">
        <f t="shared" si="153"/>
        <v>0</v>
      </c>
      <c r="Z336" s="50">
        <v>0</v>
      </c>
      <c r="AA336" s="50">
        <f t="shared" si="176"/>
        <v>0</v>
      </c>
      <c r="AB336" s="50"/>
      <c r="AC336" s="52">
        <v>39100</v>
      </c>
      <c r="AD336" s="52">
        <f>S336*1.15-AC336</f>
        <v>0</v>
      </c>
      <c r="AE336" s="53">
        <f>S336*1.15+X336-AB336-AC336</f>
        <v>0</v>
      </c>
      <c r="AF336" s="52" t="b">
        <v>0</v>
      </c>
      <c r="AG336" s="52"/>
      <c r="AH336" s="52"/>
      <c r="AI336" s="52"/>
      <c r="AJ336" s="52"/>
      <c r="AK336" s="52"/>
      <c r="AL336" s="52"/>
      <c r="AM336" s="52" t="b">
        <v>0</v>
      </c>
      <c r="AN336" s="52"/>
      <c r="AO336" s="52"/>
      <c r="AP336" s="52"/>
      <c r="AQ336" s="52"/>
      <c r="AR336" s="52"/>
      <c r="AS336" s="52" t="b">
        <v>0</v>
      </c>
      <c r="AT336" s="52"/>
      <c r="AU336" s="52"/>
      <c r="AV336" s="52"/>
      <c r="AW336" s="52"/>
      <c r="AX336" s="52" t="str">
        <f t="shared" si="155"/>
        <v>ملتزم</v>
      </c>
      <c r="AY336" s="54" t="s">
        <v>69</v>
      </c>
      <c r="AZ336" s="43" t="s">
        <v>107</v>
      </c>
      <c r="BA336" s="55"/>
      <c r="BB336" s="55"/>
      <c r="BC336" s="55"/>
      <c r="BD336" s="54"/>
      <c r="BE336" s="68">
        <v>35366</v>
      </c>
      <c r="BF336" s="54"/>
      <c r="BG336" s="54"/>
      <c r="BH336" s="54"/>
      <c r="BI336" s="54" t="s">
        <v>112</v>
      </c>
      <c r="BJ336" s="54">
        <f>(U336+V336+AE336)-BD336-BE336</f>
        <v>2034</v>
      </c>
      <c r="BK336" s="54" t="s">
        <v>113</v>
      </c>
    </row>
    <row r="337" spans="1:63" ht="34.5" hidden="1" customHeight="1" x14ac:dyDescent="0.25">
      <c r="A337" s="35">
        <f t="shared" si="133"/>
        <v>160</v>
      </c>
      <c r="B337" s="35" t="s">
        <v>701</v>
      </c>
      <c r="C337" s="105">
        <v>20510347543</v>
      </c>
      <c r="D337" s="81" t="s">
        <v>100</v>
      </c>
      <c r="E337" s="81" t="b">
        <v>0</v>
      </c>
      <c r="F337" s="81"/>
      <c r="G337" s="65">
        <v>45657</v>
      </c>
      <c r="H337" s="35">
        <v>2</v>
      </c>
      <c r="I337" s="35" t="s">
        <v>702</v>
      </c>
      <c r="J337" s="95" t="s">
        <v>703</v>
      </c>
      <c r="K337" s="81">
        <v>7011792871</v>
      </c>
      <c r="L337" s="81">
        <v>581272281</v>
      </c>
      <c r="M337" s="81">
        <v>1096664840</v>
      </c>
      <c r="N337" s="35" t="s">
        <v>73</v>
      </c>
      <c r="O337" s="35" t="s">
        <v>97</v>
      </c>
      <c r="P337" s="35">
        <v>10.9</v>
      </c>
      <c r="Q337" s="35">
        <v>4</v>
      </c>
      <c r="R337" s="35">
        <f t="shared" si="151"/>
        <v>43.6</v>
      </c>
      <c r="S337" s="44">
        <v>68000</v>
      </c>
      <c r="T337" s="44">
        <f t="shared" si="174"/>
        <v>6800</v>
      </c>
      <c r="U337" s="63">
        <f t="shared" si="175"/>
        <v>74800</v>
      </c>
      <c r="V337" s="106"/>
      <c r="W337" s="106"/>
      <c r="X337" s="45">
        <v>34541</v>
      </c>
      <c r="Y337" s="48">
        <f t="shared" si="153"/>
        <v>30035.652173913048</v>
      </c>
      <c r="Z337" s="50">
        <v>0</v>
      </c>
      <c r="AA337" s="50">
        <f t="shared" si="176"/>
        <v>0</v>
      </c>
      <c r="AB337" s="50">
        <v>3500</v>
      </c>
      <c r="AC337" s="52">
        <v>0</v>
      </c>
      <c r="AD337" s="52">
        <f>S337*1.15-AC337</f>
        <v>78200</v>
      </c>
      <c r="AE337" s="53">
        <f>S337*1.15+X337-AB337-AC337</f>
        <v>109241</v>
      </c>
      <c r="AF337" s="52" t="b">
        <v>0</v>
      </c>
      <c r="AG337" s="52"/>
      <c r="AH337" s="52"/>
      <c r="AI337" s="52"/>
      <c r="AJ337" s="52"/>
      <c r="AK337" s="52"/>
      <c r="AL337" s="52"/>
      <c r="AM337" s="52" t="b">
        <v>0</v>
      </c>
      <c r="AN337" s="52"/>
      <c r="AO337" s="52"/>
      <c r="AP337" s="52"/>
      <c r="AQ337" s="52"/>
      <c r="AR337" s="52"/>
      <c r="AS337" s="52" t="b">
        <v>0</v>
      </c>
      <c r="AT337" s="52"/>
      <c r="AU337" s="52"/>
      <c r="AV337" s="52"/>
      <c r="AW337" s="52"/>
      <c r="AX337" s="52" t="str">
        <f t="shared" si="155"/>
        <v>غير ملتزم</v>
      </c>
      <c r="AY337" s="54" t="s">
        <v>77</v>
      </c>
      <c r="AZ337" s="43" t="s">
        <v>103</v>
      </c>
      <c r="BA337" s="169" t="s">
        <v>82</v>
      </c>
      <c r="BB337" s="169"/>
      <c r="BC337" s="169"/>
      <c r="BD337" s="54"/>
      <c r="BE337" s="68"/>
      <c r="BF337" s="54"/>
      <c r="BG337" s="54"/>
      <c r="BH337" s="54"/>
      <c r="BI337" s="54"/>
      <c r="BJ337" s="54">
        <f>(U337+V337+AE337)-BD337-BE337</f>
        <v>184041</v>
      </c>
      <c r="BK337" s="54"/>
    </row>
    <row r="338" spans="1:63" ht="34.5" hidden="1" customHeight="1" x14ac:dyDescent="0.25">
      <c r="A338" s="35">
        <f t="shared" si="133"/>
        <v>161</v>
      </c>
      <c r="B338" s="57" t="s">
        <v>704</v>
      </c>
      <c r="C338" s="57">
        <v>20199742951</v>
      </c>
      <c r="D338" s="37" t="s">
        <v>106</v>
      </c>
      <c r="E338" s="81" t="b">
        <v>0</v>
      </c>
      <c r="F338" s="81"/>
      <c r="G338" s="65">
        <v>46022</v>
      </c>
      <c r="H338" s="42">
        <v>1</v>
      </c>
      <c r="I338" s="42">
        <v>3</v>
      </c>
      <c r="J338" s="59" t="s">
        <v>705</v>
      </c>
      <c r="K338" s="61">
        <v>7006842301</v>
      </c>
      <c r="L338" s="61">
        <v>530939051</v>
      </c>
      <c r="M338" s="61">
        <v>1094580568</v>
      </c>
      <c r="N338" s="35" t="s">
        <v>73</v>
      </c>
      <c r="O338" s="42" t="s">
        <v>74</v>
      </c>
      <c r="P338" s="35"/>
      <c r="Q338" s="35"/>
      <c r="R338" s="35">
        <v>104.2</v>
      </c>
      <c r="S338" s="62">
        <v>30000</v>
      </c>
      <c r="T338" s="44">
        <f t="shared" si="174"/>
        <v>3000</v>
      </c>
      <c r="U338" s="63">
        <f t="shared" si="175"/>
        <v>33000</v>
      </c>
      <c r="V338" s="64"/>
      <c r="W338" s="64"/>
      <c r="X338" s="52">
        <v>10350</v>
      </c>
      <c r="Y338" s="48">
        <f t="shared" si="153"/>
        <v>9000</v>
      </c>
      <c r="Z338" s="69">
        <v>0</v>
      </c>
      <c r="AA338" s="50">
        <f t="shared" si="176"/>
        <v>0</v>
      </c>
      <c r="AB338" s="50">
        <v>10350</v>
      </c>
      <c r="AC338" s="52">
        <v>34500</v>
      </c>
      <c r="AD338" s="52">
        <f>S338*1.15-AC338</f>
        <v>0</v>
      </c>
      <c r="AE338" s="53">
        <f>S338*1.15+X338-AB338-AC338</f>
        <v>0</v>
      </c>
      <c r="AF338" s="52" t="b">
        <v>0</v>
      </c>
      <c r="AG338" s="52"/>
      <c r="AH338" s="52"/>
      <c r="AI338" s="52"/>
      <c r="AJ338" s="52"/>
      <c r="AK338" s="52"/>
      <c r="AL338" s="52"/>
      <c r="AM338" s="52" t="b">
        <v>0</v>
      </c>
      <c r="AN338" s="52"/>
      <c r="AO338" s="52"/>
      <c r="AP338" s="52"/>
      <c r="AQ338" s="52"/>
      <c r="AR338" s="52"/>
      <c r="AS338" s="52" t="b">
        <v>0</v>
      </c>
      <c r="AT338" s="52"/>
      <c r="AU338" s="52"/>
      <c r="AV338" s="52"/>
      <c r="AW338" s="52"/>
      <c r="AX338" s="52" t="str">
        <f t="shared" si="155"/>
        <v>ملتزم</v>
      </c>
      <c r="AY338" s="54" t="s">
        <v>140</v>
      </c>
      <c r="AZ338" s="43" t="s">
        <v>107</v>
      </c>
      <c r="BA338" s="55"/>
      <c r="BB338" s="55"/>
      <c r="BC338" s="55"/>
      <c r="BD338" s="54"/>
      <c r="BE338" s="68">
        <v>19090</v>
      </c>
      <c r="BF338" s="54"/>
      <c r="BG338" s="54"/>
      <c r="BH338" s="54"/>
      <c r="BI338" s="54" t="s">
        <v>76</v>
      </c>
      <c r="BJ338" s="54">
        <f>(U338+V338+AE338)-BD338-BE338</f>
        <v>13910</v>
      </c>
      <c r="BK338" s="54" t="s">
        <v>205</v>
      </c>
    </row>
    <row r="339" spans="1:63" ht="34.5" hidden="1" customHeight="1" x14ac:dyDescent="0.25">
      <c r="A339" s="35">
        <f t="shared" si="133"/>
        <v>162</v>
      </c>
      <c r="B339" s="57" t="s">
        <v>704</v>
      </c>
      <c r="C339" s="57">
        <v>20866069049</v>
      </c>
      <c r="D339" s="37" t="s">
        <v>106</v>
      </c>
      <c r="E339" s="81" t="b">
        <v>0</v>
      </c>
      <c r="F339" s="81"/>
      <c r="G339" s="65">
        <v>46022</v>
      </c>
      <c r="H339" s="42">
        <v>1</v>
      </c>
      <c r="I339" s="42">
        <v>34</v>
      </c>
      <c r="J339" s="59" t="s">
        <v>705</v>
      </c>
      <c r="K339" s="61">
        <v>7006842301</v>
      </c>
      <c r="L339" s="61">
        <v>530939051</v>
      </c>
      <c r="M339" s="61">
        <v>1094580568</v>
      </c>
      <c r="N339" s="35" t="s">
        <v>73</v>
      </c>
      <c r="O339" s="42" t="s">
        <v>74</v>
      </c>
      <c r="P339" s="35"/>
      <c r="Q339" s="35"/>
      <c r="R339" s="35">
        <v>27.5</v>
      </c>
      <c r="S339" s="62">
        <v>23000</v>
      </c>
      <c r="T339" s="44">
        <f t="shared" si="174"/>
        <v>2300</v>
      </c>
      <c r="U339" s="63">
        <f t="shared" si="175"/>
        <v>25300</v>
      </c>
      <c r="V339" s="64"/>
      <c r="W339" s="64"/>
      <c r="X339" s="51"/>
      <c r="Y339" s="48">
        <f t="shared" si="153"/>
        <v>0</v>
      </c>
      <c r="Z339" s="49">
        <v>0</v>
      </c>
      <c r="AA339" s="50">
        <f t="shared" si="176"/>
        <v>0</v>
      </c>
      <c r="AB339" s="50">
        <v>0</v>
      </c>
      <c r="AC339" s="51">
        <v>26450</v>
      </c>
      <c r="AD339" s="52">
        <f>S339*1.15-AC339</f>
        <v>0</v>
      </c>
      <c r="AE339" s="53">
        <f>S339*1.15+X339-AB339-AC339</f>
        <v>0</v>
      </c>
      <c r="AF339" s="52" t="b">
        <v>0</v>
      </c>
      <c r="AG339" s="52"/>
      <c r="AH339" s="52"/>
      <c r="AI339" s="52"/>
      <c r="AJ339" s="52"/>
      <c r="AK339" s="52"/>
      <c r="AL339" s="52"/>
      <c r="AM339" s="52" t="b">
        <v>0</v>
      </c>
      <c r="AN339" s="52"/>
      <c r="AO339" s="52"/>
      <c r="AP339" s="52"/>
      <c r="AQ339" s="52"/>
      <c r="AR339" s="52"/>
      <c r="AS339" s="52" t="b">
        <v>0</v>
      </c>
      <c r="AT339" s="52"/>
      <c r="AU339" s="52"/>
      <c r="AV339" s="52"/>
      <c r="AW339" s="52"/>
      <c r="AX339" s="52" t="str">
        <f t="shared" si="155"/>
        <v>ملتزم</v>
      </c>
      <c r="AY339" s="54" t="s">
        <v>77</v>
      </c>
      <c r="AZ339" s="43" t="s">
        <v>107</v>
      </c>
      <c r="BA339" s="70"/>
      <c r="BB339" s="70"/>
      <c r="BC339" s="70"/>
      <c r="BD339" s="54"/>
      <c r="BE339" s="68">
        <v>14565</v>
      </c>
      <c r="BF339" s="54"/>
      <c r="BG339" s="54"/>
      <c r="BH339" s="54"/>
      <c r="BI339" s="54" t="s">
        <v>72</v>
      </c>
      <c r="BJ339" s="54">
        <f>(U339+V339+AE339)-BD339-BE339</f>
        <v>10735</v>
      </c>
      <c r="BK339" s="54"/>
    </row>
    <row r="340" spans="1:63" ht="34.5" hidden="1" customHeight="1" x14ac:dyDescent="0.25">
      <c r="A340" s="35">
        <f t="shared" si="133"/>
        <v>163</v>
      </c>
      <c r="B340" s="57" t="s">
        <v>704</v>
      </c>
      <c r="C340" s="57">
        <v>20331194962</v>
      </c>
      <c r="D340" s="37" t="s">
        <v>106</v>
      </c>
      <c r="E340" s="81" t="b">
        <v>0</v>
      </c>
      <c r="F340" s="81"/>
      <c r="G340" s="38">
        <v>46022</v>
      </c>
      <c r="H340" s="42">
        <v>1</v>
      </c>
      <c r="I340" s="42">
        <v>35</v>
      </c>
      <c r="J340" s="97" t="s">
        <v>705</v>
      </c>
      <c r="K340" s="100">
        <v>7015006328</v>
      </c>
      <c r="L340" s="100">
        <v>530939051</v>
      </c>
      <c r="M340" s="98">
        <v>1094580568</v>
      </c>
      <c r="N340" s="35" t="s">
        <v>73</v>
      </c>
      <c r="O340" s="42" t="s">
        <v>74</v>
      </c>
      <c r="P340" s="35"/>
      <c r="Q340" s="35"/>
      <c r="R340" s="35">
        <v>39.35</v>
      </c>
      <c r="S340" s="62">
        <v>23000</v>
      </c>
      <c r="T340" s="44">
        <f t="shared" si="174"/>
        <v>2300</v>
      </c>
      <c r="U340" s="63">
        <f t="shared" si="175"/>
        <v>25300</v>
      </c>
      <c r="V340" s="64"/>
      <c r="W340" s="64"/>
      <c r="X340" s="51">
        <v>0</v>
      </c>
      <c r="Y340" s="48">
        <f t="shared" si="153"/>
        <v>0</v>
      </c>
      <c r="Z340" s="49">
        <v>0</v>
      </c>
      <c r="AA340" s="50">
        <f t="shared" si="176"/>
        <v>0</v>
      </c>
      <c r="AB340" s="50"/>
      <c r="AC340" s="51">
        <v>26450</v>
      </c>
      <c r="AD340" s="52">
        <f>S340*1.15-AC340</f>
        <v>0</v>
      </c>
      <c r="AE340" s="53">
        <f>S340*1.15+X340-AB340-AC340</f>
        <v>0</v>
      </c>
      <c r="AF340" s="52" t="b">
        <v>0</v>
      </c>
      <c r="AG340" s="52"/>
      <c r="AH340" s="52"/>
      <c r="AI340" s="52"/>
      <c r="AJ340" s="52"/>
      <c r="AK340" s="52"/>
      <c r="AL340" s="52"/>
      <c r="AM340" s="52" t="b">
        <v>0</v>
      </c>
      <c r="AN340" s="52"/>
      <c r="AO340" s="52"/>
      <c r="AP340" s="52"/>
      <c r="AQ340" s="52"/>
      <c r="AR340" s="52"/>
      <c r="AS340" s="52" t="b">
        <v>0</v>
      </c>
      <c r="AT340" s="52"/>
      <c r="AU340" s="52"/>
      <c r="AV340" s="52"/>
      <c r="AW340" s="52"/>
      <c r="AX340" s="52" t="str">
        <f t="shared" si="155"/>
        <v>ملتزم</v>
      </c>
      <c r="AY340" s="52" t="s">
        <v>69</v>
      </c>
      <c r="AZ340" s="43" t="s">
        <v>107</v>
      </c>
      <c r="BA340" s="55"/>
      <c r="BB340" s="55"/>
      <c r="BC340" s="55"/>
      <c r="BD340" s="52"/>
      <c r="BE340" s="68">
        <v>14662.5</v>
      </c>
      <c r="BF340" s="52"/>
      <c r="BG340" s="52"/>
      <c r="BH340" s="52"/>
      <c r="BI340" s="54" t="s">
        <v>112</v>
      </c>
      <c r="BJ340" s="54">
        <f>(U340+V340+AE340)-BD340-BE340</f>
        <v>10637.5</v>
      </c>
      <c r="BK340" s="52" t="s">
        <v>205</v>
      </c>
    </row>
    <row r="341" spans="1:63" ht="34.5" hidden="1" customHeight="1" x14ac:dyDescent="0.25">
      <c r="A341" s="35">
        <f t="shared" si="133"/>
        <v>164</v>
      </c>
      <c r="B341" s="57" t="s">
        <v>704</v>
      </c>
      <c r="C341" s="57">
        <v>20869605084</v>
      </c>
      <c r="D341" s="37" t="s">
        <v>106</v>
      </c>
      <c r="E341" s="61" t="b">
        <v>0</v>
      </c>
      <c r="F341" s="61"/>
      <c r="G341" s="65">
        <v>46022</v>
      </c>
      <c r="H341" s="42">
        <v>1</v>
      </c>
      <c r="I341" s="42">
        <v>36</v>
      </c>
      <c r="J341" s="97" t="s">
        <v>705</v>
      </c>
      <c r="K341" s="98">
        <v>7006842301</v>
      </c>
      <c r="L341" s="98">
        <v>530939051</v>
      </c>
      <c r="M341" s="98">
        <v>1094580568</v>
      </c>
      <c r="N341" s="35" t="s">
        <v>73</v>
      </c>
      <c r="O341" s="42" t="s">
        <v>74</v>
      </c>
      <c r="P341" s="35"/>
      <c r="Q341" s="35"/>
      <c r="R341" s="35">
        <v>39.35</v>
      </c>
      <c r="S341" s="62">
        <v>23000</v>
      </c>
      <c r="T341" s="44">
        <f t="shared" si="174"/>
        <v>2300</v>
      </c>
      <c r="U341" s="63">
        <f t="shared" si="175"/>
        <v>25300</v>
      </c>
      <c r="V341" s="64"/>
      <c r="W341" s="64"/>
      <c r="X341" s="51">
        <v>30014</v>
      </c>
      <c r="Y341" s="48">
        <f t="shared" si="153"/>
        <v>26099.130434782612</v>
      </c>
      <c r="Z341" s="49">
        <v>0</v>
      </c>
      <c r="AA341" s="50">
        <f t="shared" si="176"/>
        <v>0</v>
      </c>
      <c r="AB341" s="50">
        <v>30014</v>
      </c>
      <c r="AC341" s="51">
        <v>26450</v>
      </c>
      <c r="AD341" s="52">
        <f>S341*1.15-AC341</f>
        <v>0</v>
      </c>
      <c r="AE341" s="53">
        <f>S341*1.15+X341-AB341-AC341</f>
        <v>0</v>
      </c>
      <c r="AF341" s="52" t="b">
        <v>0</v>
      </c>
      <c r="AG341" s="52"/>
      <c r="AH341" s="52"/>
      <c r="AI341" s="52"/>
      <c r="AJ341" s="52"/>
      <c r="AK341" s="52"/>
      <c r="AL341" s="52"/>
      <c r="AM341" s="52" t="b">
        <v>0</v>
      </c>
      <c r="AN341" s="52"/>
      <c r="AO341" s="52"/>
      <c r="AP341" s="52"/>
      <c r="AQ341" s="52"/>
      <c r="AR341" s="52"/>
      <c r="AS341" s="52" t="b">
        <v>0</v>
      </c>
      <c r="AT341" s="52"/>
      <c r="AU341" s="52"/>
      <c r="AV341" s="52"/>
      <c r="AW341" s="52"/>
      <c r="AX341" s="52" t="str">
        <f t="shared" si="155"/>
        <v>ملتزم</v>
      </c>
      <c r="AY341" s="54" t="s">
        <v>140</v>
      </c>
      <c r="AZ341" s="43" t="s">
        <v>107</v>
      </c>
      <c r="BA341" s="55"/>
      <c r="BB341" s="55"/>
      <c r="BC341" s="55"/>
      <c r="BD341" s="54"/>
      <c r="BE341" s="68">
        <v>14662</v>
      </c>
      <c r="BF341" s="54"/>
      <c r="BG341" s="54"/>
      <c r="BH341" s="54"/>
      <c r="BI341" s="54" t="s">
        <v>76</v>
      </c>
      <c r="BJ341" s="54">
        <f>(U341+V341+AE341)-BD341-BE341</f>
        <v>10638</v>
      </c>
      <c r="BK341" s="54" t="s">
        <v>205</v>
      </c>
    </row>
    <row r="342" spans="1:63" ht="34.5" hidden="1" customHeight="1" x14ac:dyDescent="0.25">
      <c r="A342" s="35">
        <f t="shared" si="133"/>
        <v>165</v>
      </c>
      <c r="B342" s="57" t="s">
        <v>704</v>
      </c>
      <c r="C342" s="57">
        <v>20867448844</v>
      </c>
      <c r="D342" s="37" t="s">
        <v>106</v>
      </c>
      <c r="E342" s="81" t="b">
        <v>0</v>
      </c>
      <c r="F342" s="81"/>
      <c r="G342" s="65">
        <v>46022</v>
      </c>
      <c r="H342" s="42">
        <v>1</v>
      </c>
      <c r="I342" s="42">
        <v>37</v>
      </c>
      <c r="J342" s="59" t="s">
        <v>705</v>
      </c>
      <c r="K342" s="61">
        <v>7006842301</v>
      </c>
      <c r="L342" s="61">
        <v>530939051</v>
      </c>
      <c r="M342" s="61">
        <v>1094580568</v>
      </c>
      <c r="N342" s="35" t="s">
        <v>73</v>
      </c>
      <c r="O342" s="42" t="s">
        <v>74</v>
      </c>
      <c r="P342" s="35"/>
      <c r="Q342" s="35"/>
      <c r="R342" s="35">
        <v>38.4</v>
      </c>
      <c r="S342" s="62">
        <v>23000</v>
      </c>
      <c r="T342" s="44">
        <f t="shared" si="174"/>
        <v>2300</v>
      </c>
      <c r="U342" s="63">
        <f t="shared" si="175"/>
        <v>25300</v>
      </c>
      <c r="V342" s="64"/>
      <c r="W342" s="64"/>
      <c r="X342" s="51">
        <v>0</v>
      </c>
      <c r="Y342" s="48">
        <f t="shared" si="153"/>
        <v>0</v>
      </c>
      <c r="Z342" s="49">
        <v>0</v>
      </c>
      <c r="AA342" s="50">
        <f t="shared" si="176"/>
        <v>0</v>
      </c>
      <c r="AB342" s="50"/>
      <c r="AC342" s="51">
        <v>24097</v>
      </c>
      <c r="AD342" s="52">
        <f>S342*1.15-AC342</f>
        <v>2352.9999999999964</v>
      </c>
      <c r="AE342" s="53">
        <f>S342*1.15+X342-AB342-AC342</f>
        <v>2352.9999999999964</v>
      </c>
      <c r="AF342" s="52" t="b">
        <v>0</v>
      </c>
      <c r="AG342" s="52"/>
      <c r="AH342" s="52"/>
      <c r="AI342" s="52"/>
      <c r="AJ342" s="52"/>
      <c r="AK342" s="52"/>
      <c r="AL342" s="52"/>
      <c r="AM342" s="52" t="b">
        <v>0</v>
      </c>
      <c r="AN342" s="52"/>
      <c r="AO342" s="52"/>
      <c r="AP342" s="52"/>
      <c r="AQ342" s="52"/>
      <c r="AR342" s="52"/>
      <c r="AS342" s="52" t="b">
        <v>0</v>
      </c>
      <c r="AT342" s="52"/>
      <c r="AU342" s="52"/>
      <c r="AV342" s="52"/>
      <c r="AW342" s="52"/>
      <c r="AX342" s="52" t="str">
        <f t="shared" si="155"/>
        <v>غير ملتزم</v>
      </c>
      <c r="AY342" s="54" t="s">
        <v>706</v>
      </c>
      <c r="AZ342" s="43" t="s">
        <v>107</v>
      </c>
      <c r="BA342" s="70"/>
      <c r="BB342" s="70"/>
      <c r="BC342" s="70"/>
      <c r="BD342" s="54"/>
      <c r="BE342" s="68">
        <v>7000</v>
      </c>
      <c r="BF342" s="54"/>
      <c r="BG342" s="54"/>
      <c r="BH342" s="54"/>
      <c r="BI342" s="52" t="s">
        <v>72</v>
      </c>
      <c r="BJ342" s="54">
        <f>(U342+V342+AE342)-BD342-BE342</f>
        <v>20652.999999999996</v>
      </c>
      <c r="BK342" s="54"/>
    </row>
    <row r="343" spans="1:63" ht="34.5" hidden="1" customHeight="1" x14ac:dyDescent="0.25">
      <c r="A343" s="35">
        <f>1+A340</f>
        <v>164</v>
      </c>
      <c r="B343" s="57" t="s">
        <v>704</v>
      </c>
      <c r="C343" s="57">
        <v>20040391880</v>
      </c>
      <c r="D343" s="37" t="s">
        <v>106</v>
      </c>
      <c r="E343" s="81" t="b">
        <v>0</v>
      </c>
      <c r="F343" s="81"/>
      <c r="G343" s="38">
        <v>46022</v>
      </c>
      <c r="H343" s="42">
        <v>1</v>
      </c>
      <c r="I343" s="42">
        <v>39</v>
      </c>
      <c r="J343" s="97" t="s">
        <v>705</v>
      </c>
      <c r="K343" s="100">
        <v>7006842301</v>
      </c>
      <c r="L343" s="100">
        <v>530939051</v>
      </c>
      <c r="M343" s="98">
        <v>1094580568</v>
      </c>
      <c r="N343" s="35" t="s">
        <v>73</v>
      </c>
      <c r="O343" s="42" t="s">
        <v>74</v>
      </c>
      <c r="P343" s="35"/>
      <c r="Q343" s="35"/>
      <c r="R343" s="35">
        <v>55.2</v>
      </c>
      <c r="S343" s="62">
        <v>30000</v>
      </c>
      <c r="T343" s="44">
        <f t="shared" si="174"/>
        <v>3000</v>
      </c>
      <c r="U343" s="63">
        <f t="shared" si="175"/>
        <v>33000</v>
      </c>
      <c r="V343" s="64"/>
      <c r="W343" s="64"/>
      <c r="X343" s="51">
        <v>0</v>
      </c>
      <c r="Y343" s="48">
        <f t="shared" si="153"/>
        <v>0</v>
      </c>
      <c r="Z343" s="49">
        <v>0</v>
      </c>
      <c r="AA343" s="50">
        <f t="shared" si="176"/>
        <v>0</v>
      </c>
      <c r="AB343" s="50"/>
      <c r="AC343" s="51">
        <v>34500</v>
      </c>
      <c r="AD343" s="52">
        <f>S343*1.15-AC343</f>
        <v>0</v>
      </c>
      <c r="AE343" s="53">
        <f>S343*1.15+X343-AB343-AC343</f>
        <v>0</v>
      </c>
      <c r="AF343" s="52" t="b">
        <v>0</v>
      </c>
      <c r="AG343" s="52"/>
      <c r="AH343" s="52"/>
      <c r="AI343" s="52"/>
      <c r="AJ343" s="52"/>
      <c r="AK343" s="52"/>
      <c r="AL343" s="52"/>
      <c r="AM343" s="52" t="b">
        <v>0</v>
      </c>
      <c r="AN343" s="52"/>
      <c r="AO343" s="52"/>
      <c r="AP343" s="52"/>
      <c r="AQ343" s="52"/>
      <c r="AR343" s="52"/>
      <c r="AS343" s="52" t="b">
        <v>0</v>
      </c>
      <c r="AT343" s="52"/>
      <c r="AU343" s="52"/>
      <c r="AV343" s="52"/>
      <c r="AW343" s="52"/>
      <c r="AX343" s="52" t="str">
        <f t="shared" si="155"/>
        <v>ملتزم</v>
      </c>
      <c r="AY343" s="52" t="s">
        <v>69</v>
      </c>
      <c r="AZ343" s="43" t="s">
        <v>107</v>
      </c>
      <c r="BA343" s="55"/>
      <c r="BB343" s="55"/>
      <c r="BC343" s="55"/>
      <c r="BD343" s="52"/>
      <c r="BE343" s="68">
        <v>19090</v>
      </c>
      <c r="BF343" s="52"/>
      <c r="BG343" s="52"/>
      <c r="BH343" s="52"/>
      <c r="BI343" s="52" t="s">
        <v>72</v>
      </c>
      <c r="BJ343" s="54">
        <f>(U343+V343+AE343)-BD343-BE343</f>
        <v>13910</v>
      </c>
      <c r="BK343" s="52" t="s">
        <v>205</v>
      </c>
    </row>
    <row r="344" spans="1:63" ht="34.5" hidden="1" customHeight="1" x14ac:dyDescent="0.25">
      <c r="A344" s="35">
        <v>191</v>
      </c>
      <c r="B344" s="57" t="s">
        <v>707</v>
      </c>
      <c r="C344" s="57">
        <v>20728945178</v>
      </c>
      <c r="D344" s="37" t="s">
        <v>106</v>
      </c>
      <c r="E344" s="81" t="b">
        <v>0</v>
      </c>
      <c r="F344" s="81"/>
      <c r="G344" s="65">
        <v>46022</v>
      </c>
      <c r="H344" s="42">
        <v>1</v>
      </c>
      <c r="I344" s="42">
        <v>33</v>
      </c>
      <c r="J344" s="97" t="s">
        <v>708</v>
      </c>
      <c r="K344" s="98">
        <v>7005794180</v>
      </c>
      <c r="L344" s="98">
        <v>547500774</v>
      </c>
      <c r="M344" s="98">
        <v>1105877003</v>
      </c>
      <c r="N344" s="35" t="s">
        <v>73</v>
      </c>
      <c r="O344" s="42" t="s">
        <v>74</v>
      </c>
      <c r="P344" s="35"/>
      <c r="Q344" s="35"/>
      <c r="R344" s="35">
        <v>38.4</v>
      </c>
      <c r="S344" s="62">
        <v>23000</v>
      </c>
      <c r="T344" s="44">
        <f t="shared" si="174"/>
        <v>2300</v>
      </c>
      <c r="U344" s="63">
        <f t="shared" si="175"/>
        <v>25300</v>
      </c>
      <c r="V344" s="64"/>
      <c r="W344" s="64"/>
      <c r="X344" s="51"/>
      <c r="Y344" s="48">
        <f t="shared" si="153"/>
        <v>0</v>
      </c>
      <c r="Z344" s="49">
        <v>0</v>
      </c>
      <c r="AA344" s="50">
        <f t="shared" si="176"/>
        <v>0</v>
      </c>
      <c r="AB344" s="50"/>
      <c r="AC344" s="51">
        <v>26450</v>
      </c>
      <c r="AD344" s="52">
        <f>S344*1.15-AC344</f>
        <v>0</v>
      </c>
      <c r="AE344" s="53">
        <f>S344*1.15+X344-AB344-AC344</f>
        <v>0</v>
      </c>
      <c r="AF344" s="52" t="b">
        <v>0</v>
      </c>
      <c r="AG344" s="52"/>
      <c r="AH344" s="52"/>
      <c r="AI344" s="52"/>
      <c r="AJ344" s="52"/>
      <c r="AK344" s="52"/>
      <c r="AL344" s="52"/>
      <c r="AM344" s="52" t="b">
        <v>0</v>
      </c>
      <c r="AN344" s="52"/>
      <c r="AO344" s="52"/>
      <c r="AP344" s="52"/>
      <c r="AQ344" s="52"/>
      <c r="AR344" s="52"/>
      <c r="AS344" s="52" t="b">
        <v>0</v>
      </c>
      <c r="AT344" s="52"/>
      <c r="AU344" s="52"/>
      <c r="AV344" s="52"/>
      <c r="AW344" s="52"/>
      <c r="AX344" s="52" t="str">
        <f t="shared" si="155"/>
        <v>ملتزم</v>
      </c>
      <c r="AY344" s="54" t="s">
        <v>77</v>
      </c>
      <c r="AZ344" s="43" t="s">
        <v>107</v>
      </c>
      <c r="BA344" s="70"/>
      <c r="BB344" s="70"/>
      <c r="BC344" s="70"/>
      <c r="BD344" s="54"/>
      <c r="BE344" s="68">
        <v>14550</v>
      </c>
      <c r="BF344" s="54"/>
      <c r="BG344" s="54"/>
      <c r="BH344" s="54"/>
      <c r="BI344" s="54" t="s">
        <v>72</v>
      </c>
      <c r="BJ344" s="54">
        <f>(U344+V344+AE344)-BD344-BE344</f>
        <v>10750</v>
      </c>
      <c r="BK344" s="54" t="s">
        <v>113</v>
      </c>
    </row>
    <row r="345" spans="1:63" ht="34.5" hidden="1" customHeight="1" x14ac:dyDescent="0.25">
      <c r="A345" s="35">
        <f t="shared" ref="A345:A362" si="177">1+A344</f>
        <v>192</v>
      </c>
      <c r="B345" s="57" t="s">
        <v>707</v>
      </c>
      <c r="C345" s="57">
        <v>20146404311</v>
      </c>
      <c r="D345" s="37" t="s">
        <v>106</v>
      </c>
      <c r="E345" s="81" t="b">
        <v>0</v>
      </c>
      <c r="F345" s="81"/>
      <c r="G345" s="65">
        <v>46022</v>
      </c>
      <c r="H345" s="42">
        <v>1</v>
      </c>
      <c r="I345" s="42">
        <v>38</v>
      </c>
      <c r="J345" s="97" t="s">
        <v>708</v>
      </c>
      <c r="K345" s="98">
        <v>7005794180</v>
      </c>
      <c r="L345" s="98">
        <v>547500774</v>
      </c>
      <c r="M345" s="98">
        <v>1105877003</v>
      </c>
      <c r="N345" s="35" t="s">
        <v>73</v>
      </c>
      <c r="O345" s="42" t="s">
        <v>74</v>
      </c>
      <c r="P345" s="35"/>
      <c r="Q345" s="35"/>
      <c r="R345" s="35">
        <v>38.4</v>
      </c>
      <c r="S345" s="62">
        <v>23000</v>
      </c>
      <c r="T345" s="44">
        <f t="shared" si="174"/>
        <v>2300</v>
      </c>
      <c r="U345" s="63">
        <f t="shared" si="175"/>
        <v>25300</v>
      </c>
      <c r="V345" s="64"/>
      <c r="W345" s="64"/>
      <c r="X345" s="51">
        <v>21735</v>
      </c>
      <c r="Y345" s="48">
        <f t="shared" si="153"/>
        <v>18900</v>
      </c>
      <c r="Z345" s="49">
        <v>0</v>
      </c>
      <c r="AA345" s="50">
        <f t="shared" si="176"/>
        <v>0</v>
      </c>
      <c r="AB345" s="50">
        <v>21735</v>
      </c>
      <c r="AC345" s="51">
        <v>26450</v>
      </c>
      <c r="AD345" s="52">
        <f>S345*1.15-AC345</f>
        <v>0</v>
      </c>
      <c r="AE345" s="53">
        <f>S345*1.15+X345-AB345-AC345</f>
        <v>0</v>
      </c>
      <c r="AF345" s="52" t="b">
        <v>0</v>
      </c>
      <c r="AG345" s="52"/>
      <c r="AH345" s="52"/>
      <c r="AI345" s="52"/>
      <c r="AJ345" s="52"/>
      <c r="AK345" s="52"/>
      <c r="AL345" s="52"/>
      <c r="AM345" s="52" t="b">
        <v>0</v>
      </c>
      <c r="AN345" s="52"/>
      <c r="AO345" s="52"/>
      <c r="AP345" s="52"/>
      <c r="AQ345" s="52"/>
      <c r="AR345" s="52"/>
      <c r="AS345" s="52" t="b">
        <v>0</v>
      </c>
      <c r="AT345" s="52"/>
      <c r="AU345" s="52"/>
      <c r="AV345" s="52"/>
      <c r="AW345" s="52"/>
      <c r="AX345" s="52" t="str">
        <f t="shared" si="155"/>
        <v>ملتزم</v>
      </c>
      <c r="AY345" s="54" t="s">
        <v>398</v>
      </c>
      <c r="AZ345" s="43" t="s">
        <v>107</v>
      </c>
      <c r="BA345" s="70"/>
      <c r="BB345" s="70"/>
      <c r="BC345" s="70"/>
      <c r="BD345" s="54"/>
      <c r="BE345" s="68">
        <v>14546</v>
      </c>
      <c r="BF345" s="54"/>
      <c r="BG345" s="54"/>
      <c r="BH345" s="54"/>
      <c r="BI345" s="54" t="s">
        <v>72</v>
      </c>
      <c r="BJ345" s="54">
        <f>(U345+V345+AE345)-BD345-BE345</f>
        <v>10754</v>
      </c>
      <c r="BK345" s="54" t="s">
        <v>113</v>
      </c>
    </row>
    <row r="346" spans="1:63" ht="34.5" hidden="1" customHeight="1" x14ac:dyDescent="0.25">
      <c r="A346" s="35">
        <f t="shared" si="177"/>
        <v>193</v>
      </c>
      <c r="B346" s="57" t="s">
        <v>709</v>
      </c>
      <c r="C346" s="71"/>
      <c r="D346" s="61" t="s">
        <v>134</v>
      </c>
      <c r="E346" s="61" t="b">
        <v>0</v>
      </c>
      <c r="F346" s="61"/>
      <c r="G346" s="65"/>
      <c r="H346" s="42">
        <v>1</v>
      </c>
      <c r="I346" s="42">
        <v>68</v>
      </c>
      <c r="J346" s="59" t="s">
        <v>710</v>
      </c>
      <c r="K346" s="61">
        <v>7013479253</v>
      </c>
      <c r="L346" s="61">
        <v>566623086</v>
      </c>
      <c r="M346" s="61">
        <v>1009665777</v>
      </c>
      <c r="N346" s="35" t="s">
        <v>73</v>
      </c>
      <c r="O346" s="42" t="s">
        <v>74</v>
      </c>
      <c r="P346" s="35">
        <v>12</v>
      </c>
      <c r="Q346" s="35">
        <v>11.5</v>
      </c>
      <c r="R346" s="35">
        <f t="shared" ref="R346:R357" si="178">P346*Q346</f>
        <v>138</v>
      </c>
      <c r="S346" s="62">
        <v>36000</v>
      </c>
      <c r="T346" s="44">
        <f t="shared" si="174"/>
        <v>3600</v>
      </c>
      <c r="U346" s="63">
        <f t="shared" si="175"/>
        <v>39600</v>
      </c>
      <c r="V346" s="64"/>
      <c r="W346" s="64"/>
      <c r="X346" s="52">
        <v>40030</v>
      </c>
      <c r="Y346" s="48">
        <f t="shared" si="153"/>
        <v>34808.695652173919</v>
      </c>
      <c r="Z346" s="69">
        <v>0</v>
      </c>
      <c r="AA346" s="50">
        <f t="shared" si="176"/>
        <v>0</v>
      </c>
      <c r="AB346" s="50"/>
      <c r="AC346" s="52">
        <v>0</v>
      </c>
      <c r="AD346" s="52">
        <f>S346*1.15-AC346</f>
        <v>41400</v>
      </c>
      <c r="AE346" s="53">
        <f>S346*1.15+X346-AB346-AC346</f>
        <v>81430</v>
      </c>
      <c r="AF346" s="52" t="b">
        <v>0</v>
      </c>
      <c r="AG346" s="52"/>
      <c r="AH346" s="52"/>
      <c r="AI346" s="52"/>
      <c r="AJ346" s="52"/>
      <c r="AK346" s="52"/>
      <c r="AL346" s="52"/>
      <c r="AM346" s="52" t="b">
        <v>0</v>
      </c>
      <c r="AN346" s="52"/>
      <c r="AO346" s="52"/>
      <c r="AP346" s="52"/>
      <c r="AQ346" s="52"/>
      <c r="AR346" s="52"/>
      <c r="AS346" s="52" t="b">
        <v>0</v>
      </c>
      <c r="AT346" s="52"/>
      <c r="AU346" s="52"/>
      <c r="AV346" s="52"/>
      <c r="AW346" s="52"/>
      <c r="AX346" s="52" t="str">
        <f t="shared" si="155"/>
        <v>غير ملتزم</v>
      </c>
      <c r="AY346" s="54" t="s">
        <v>77</v>
      </c>
      <c r="AZ346" s="43"/>
      <c r="BA346" s="170"/>
      <c r="BB346" s="170"/>
      <c r="BC346" s="170"/>
      <c r="BD346" s="54"/>
      <c r="BE346" s="68">
        <v>0</v>
      </c>
      <c r="BF346" s="54"/>
      <c r="BG346" s="54"/>
      <c r="BH346" s="54"/>
      <c r="BI346" s="54" t="s">
        <v>76</v>
      </c>
      <c r="BJ346" s="54">
        <f>(U346+V346+AE346)-BD346-BE346</f>
        <v>121030</v>
      </c>
      <c r="BK346" s="54"/>
    </row>
    <row r="347" spans="1:63" ht="34.5" hidden="1" customHeight="1" x14ac:dyDescent="0.25">
      <c r="A347" s="35">
        <f t="shared" si="177"/>
        <v>194</v>
      </c>
      <c r="B347" s="35" t="s">
        <v>709</v>
      </c>
      <c r="C347" s="105"/>
      <c r="D347" s="81" t="s">
        <v>134</v>
      </c>
      <c r="E347" s="81" t="b">
        <v>1</v>
      </c>
      <c r="F347" s="81" t="s">
        <v>135</v>
      </c>
      <c r="G347" s="65"/>
      <c r="H347" s="35">
        <v>2</v>
      </c>
      <c r="I347" s="35" t="s">
        <v>711</v>
      </c>
      <c r="J347" s="84" t="s">
        <v>712</v>
      </c>
      <c r="K347" s="81">
        <v>7013479253</v>
      </c>
      <c r="L347" s="81">
        <v>566623086</v>
      </c>
      <c r="M347" s="81">
        <v>1009665777</v>
      </c>
      <c r="N347" s="35" t="s">
        <v>73</v>
      </c>
      <c r="O347" s="35" t="s">
        <v>97</v>
      </c>
      <c r="P347" s="35">
        <v>10.6</v>
      </c>
      <c r="Q347" s="35">
        <v>4.6500000000000004</v>
      </c>
      <c r="R347" s="35">
        <f t="shared" si="178"/>
        <v>49.29</v>
      </c>
      <c r="S347" s="43">
        <v>60000</v>
      </c>
      <c r="T347" s="44">
        <f t="shared" si="174"/>
        <v>6000</v>
      </c>
      <c r="U347" s="63">
        <f t="shared" si="175"/>
        <v>66000</v>
      </c>
      <c r="V347" s="106"/>
      <c r="W347" s="106"/>
      <c r="X347" s="45">
        <v>73050</v>
      </c>
      <c r="Y347" s="48">
        <f t="shared" si="153"/>
        <v>63521.739130434791</v>
      </c>
      <c r="Z347" s="50">
        <v>0</v>
      </c>
      <c r="AA347" s="50">
        <f t="shared" si="176"/>
        <v>0</v>
      </c>
      <c r="AB347" s="50"/>
      <c r="AC347" s="52">
        <v>0</v>
      </c>
      <c r="AD347" s="52">
        <f>S347*1.15-AC347</f>
        <v>69000</v>
      </c>
      <c r="AE347" s="53">
        <f>S347*1.15+X347-AB347-AC347</f>
        <v>142050</v>
      </c>
      <c r="AF347" s="52" t="b">
        <v>0</v>
      </c>
      <c r="AG347" s="52"/>
      <c r="AH347" s="52"/>
      <c r="AI347" s="52"/>
      <c r="AJ347" s="52"/>
      <c r="AK347" s="52"/>
      <c r="AL347" s="52"/>
      <c r="AM347" s="52" t="b">
        <v>0</v>
      </c>
      <c r="AN347" s="52"/>
      <c r="AO347" s="52"/>
      <c r="AP347" s="52"/>
      <c r="AQ347" s="52"/>
      <c r="AR347" s="52"/>
      <c r="AS347" s="52" t="b">
        <v>0</v>
      </c>
      <c r="AT347" s="52"/>
      <c r="AU347" s="52"/>
      <c r="AV347" s="52"/>
      <c r="AW347" s="52"/>
      <c r="AX347" s="52" t="str">
        <f t="shared" si="155"/>
        <v>غير ملتزم</v>
      </c>
      <c r="AY347" s="54" t="s">
        <v>85</v>
      </c>
      <c r="AZ347" s="43" t="s">
        <v>103</v>
      </c>
      <c r="BA347" s="107" t="s">
        <v>98</v>
      </c>
      <c r="BB347" s="107"/>
      <c r="BC347" s="107"/>
      <c r="BD347" s="54"/>
      <c r="BE347" s="68">
        <v>0</v>
      </c>
      <c r="BF347" s="54"/>
      <c r="BG347" s="54"/>
      <c r="BH347" s="54"/>
      <c r="BI347" s="54"/>
      <c r="BJ347" s="54">
        <f>(U347+V347+AE347)-BD347-BE347</f>
        <v>208050</v>
      </c>
      <c r="BK347" s="54"/>
    </row>
    <row r="348" spans="1:63" ht="34.5" hidden="1" customHeight="1" x14ac:dyDescent="0.25">
      <c r="A348" s="35">
        <f t="shared" si="177"/>
        <v>195</v>
      </c>
      <c r="B348" s="35" t="s">
        <v>713</v>
      </c>
      <c r="C348" s="105"/>
      <c r="D348" s="81" t="s">
        <v>94</v>
      </c>
      <c r="E348" s="81" t="b">
        <v>0</v>
      </c>
      <c r="F348" s="81"/>
      <c r="G348" s="65"/>
      <c r="H348" s="35">
        <v>1</v>
      </c>
      <c r="I348" s="35">
        <v>373</v>
      </c>
      <c r="J348" s="95" t="s">
        <v>714</v>
      </c>
      <c r="K348" s="81">
        <v>7007870590</v>
      </c>
      <c r="L348" s="81">
        <v>506673296</v>
      </c>
      <c r="M348" s="81">
        <v>1094683156</v>
      </c>
      <c r="N348" s="35" t="s">
        <v>73</v>
      </c>
      <c r="O348" s="35" t="s">
        <v>97</v>
      </c>
      <c r="P348" s="35">
        <v>5</v>
      </c>
      <c r="Q348" s="35">
        <v>4</v>
      </c>
      <c r="R348" s="35">
        <f t="shared" si="178"/>
        <v>20</v>
      </c>
      <c r="S348" s="44">
        <v>30000</v>
      </c>
      <c r="T348" s="44">
        <f t="shared" si="174"/>
        <v>3000</v>
      </c>
      <c r="U348" s="63">
        <f t="shared" si="175"/>
        <v>33000</v>
      </c>
      <c r="V348" s="106"/>
      <c r="W348" s="106"/>
      <c r="X348" s="45">
        <v>84525</v>
      </c>
      <c r="Y348" s="48">
        <f t="shared" si="153"/>
        <v>73500</v>
      </c>
      <c r="Z348" s="50">
        <v>0</v>
      </c>
      <c r="AA348" s="50">
        <f t="shared" si="176"/>
        <v>0</v>
      </c>
      <c r="AB348" s="50">
        <v>18000</v>
      </c>
      <c r="AC348" s="52">
        <v>0</v>
      </c>
      <c r="AD348" s="52">
        <f>S348*1.15-AC348</f>
        <v>34500</v>
      </c>
      <c r="AE348" s="53">
        <f>S348*1.15+X348-AB348-AC348</f>
        <v>101025</v>
      </c>
      <c r="AF348" s="52" t="b">
        <v>0</v>
      </c>
      <c r="AG348" s="52"/>
      <c r="AH348" s="52"/>
      <c r="AI348" s="52"/>
      <c r="AJ348" s="52"/>
      <c r="AK348" s="52"/>
      <c r="AL348" s="52"/>
      <c r="AM348" s="52" t="b">
        <v>0</v>
      </c>
      <c r="AN348" s="52"/>
      <c r="AO348" s="52"/>
      <c r="AP348" s="52"/>
      <c r="AQ348" s="52"/>
      <c r="AR348" s="52"/>
      <c r="AS348" s="52" t="b">
        <v>0</v>
      </c>
      <c r="AT348" s="52"/>
      <c r="AU348" s="52"/>
      <c r="AV348" s="52"/>
      <c r="AW348" s="52"/>
      <c r="AX348" s="52" t="str">
        <f t="shared" si="155"/>
        <v>غير ملتزم</v>
      </c>
      <c r="AY348" s="54" t="s">
        <v>140</v>
      </c>
      <c r="AZ348" s="43"/>
      <c r="BA348" s="107" t="s">
        <v>98</v>
      </c>
      <c r="BB348" s="107"/>
      <c r="BC348" s="107"/>
      <c r="BD348" s="54"/>
      <c r="BE348" s="68"/>
      <c r="BF348" s="54"/>
      <c r="BG348" s="54"/>
      <c r="BH348" s="54"/>
      <c r="BI348" s="54"/>
      <c r="BJ348" s="54">
        <f>(U348+V348+AE348)-BD348-BE348</f>
        <v>134025</v>
      </c>
      <c r="BK348" s="54"/>
    </row>
    <row r="349" spans="1:63" ht="34.5" hidden="1" customHeight="1" x14ac:dyDescent="0.25">
      <c r="A349" s="35">
        <f t="shared" si="177"/>
        <v>196</v>
      </c>
      <c r="B349" s="35" t="s">
        <v>715</v>
      </c>
      <c r="C349" s="35">
        <v>20261645165</v>
      </c>
      <c r="D349" s="81" t="s">
        <v>100</v>
      </c>
      <c r="E349" s="81" t="b">
        <v>0</v>
      </c>
      <c r="F349" s="81"/>
      <c r="G349" s="65">
        <v>45657</v>
      </c>
      <c r="H349" s="35">
        <v>1</v>
      </c>
      <c r="I349" s="35">
        <v>88</v>
      </c>
      <c r="J349" s="95" t="s">
        <v>716</v>
      </c>
      <c r="K349" s="87">
        <v>7007077428</v>
      </c>
      <c r="L349" s="87">
        <v>560911900</v>
      </c>
      <c r="M349" s="81">
        <v>1082876911</v>
      </c>
      <c r="N349" s="35" t="s">
        <v>64</v>
      </c>
      <c r="O349" s="42" t="s">
        <v>65</v>
      </c>
      <c r="P349" s="35">
        <v>12.4</v>
      </c>
      <c r="Q349" s="35">
        <v>6.6</v>
      </c>
      <c r="R349" s="35">
        <f t="shared" si="178"/>
        <v>81.84</v>
      </c>
      <c r="S349" s="43">
        <v>25000</v>
      </c>
      <c r="T349" s="44"/>
      <c r="U349" s="45"/>
      <c r="V349" s="46">
        <v>40920</v>
      </c>
      <c r="W349" s="46"/>
      <c r="X349" s="132">
        <v>0</v>
      </c>
      <c r="Y349" s="89">
        <f t="shared" si="153"/>
        <v>0</v>
      </c>
      <c r="Z349" s="133">
        <v>0</v>
      </c>
      <c r="AA349" s="91">
        <f t="shared" si="176"/>
        <v>0</v>
      </c>
      <c r="AB349" s="91"/>
      <c r="AC349" s="132">
        <v>28750</v>
      </c>
      <c r="AD349" s="54">
        <f>S349*1.15-AC349</f>
        <v>0</v>
      </c>
      <c r="AE349" s="53">
        <f>S349*1.15+X349-AB349-AC349</f>
        <v>0</v>
      </c>
      <c r="AF349" s="54" t="b">
        <v>1</v>
      </c>
      <c r="AG349" s="54" t="s">
        <v>67</v>
      </c>
      <c r="AH349" s="54">
        <v>47058</v>
      </c>
      <c r="AI349" s="54" t="s">
        <v>68</v>
      </c>
      <c r="AJ349" s="52" t="s">
        <v>136</v>
      </c>
      <c r="AK349" s="128" t="s">
        <v>717</v>
      </c>
      <c r="AL349" s="128"/>
      <c r="AM349" s="54" t="b">
        <v>0</v>
      </c>
      <c r="AN349" s="117">
        <v>45971</v>
      </c>
      <c r="AO349" s="54">
        <v>47058</v>
      </c>
      <c r="AP349" s="54"/>
      <c r="AQ349" s="54"/>
      <c r="AR349" s="54"/>
      <c r="AS349" s="54" t="b">
        <v>0</v>
      </c>
      <c r="AT349" s="171"/>
      <c r="AU349" s="54"/>
      <c r="AV349" s="54"/>
      <c r="AW349" s="54"/>
      <c r="AX349" s="54" t="str">
        <f t="shared" si="155"/>
        <v>ملتزم</v>
      </c>
      <c r="AY349" s="54" t="s">
        <v>69</v>
      </c>
      <c r="AZ349" s="43" t="s">
        <v>86</v>
      </c>
      <c r="BA349" s="55" t="s">
        <v>75</v>
      </c>
      <c r="BB349" s="55"/>
      <c r="BC349" s="55"/>
      <c r="BD349" s="54"/>
      <c r="BE349" s="54"/>
      <c r="BF349" s="54"/>
      <c r="BG349" s="54"/>
      <c r="BH349" s="54"/>
      <c r="BI349" s="54" t="s">
        <v>72</v>
      </c>
      <c r="BJ349" s="54">
        <f>(U349+V349+AE349)-BD349-BE349</f>
        <v>40920</v>
      </c>
      <c r="BK349" s="54"/>
    </row>
    <row r="350" spans="1:63" ht="34.5" hidden="1" customHeight="1" x14ac:dyDescent="0.25">
      <c r="A350" s="35">
        <f t="shared" si="177"/>
        <v>197</v>
      </c>
      <c r="B350" s="35" t="s">
        <v>718</v>
      </c>
      <c r="C350" s="111">
        <v>20855342141</v>
      </c>
      <c r="D350" s="37" t="s">
        <v>106</v>
      </c>
      <c r="E350" s="81" t="b">
        <v>0</v>
      </c>
      <c r="F350" s="81"/>
      <c r="G350" s="65">
        <v>46022</v>
      </c>
      <c r="H350" s="35">
        <v>1</v>
      </c>
      <c r="I350" s="35">
        <v>52</v>
      </c>
      <c r="J350" s="95" t="s">
        <v>716</v>
      </c>
      <c r="K350" s="81"/>
      <c r="L350" s="81"/>
      <c r="M350" s="81">
        <v>1082876911</v>
      </c>
      <c r="N350" s="35" t="s">
        <v>64</v>
      </c>
      <c r="O350" s="42" t="s">
        <v>97</v>
      </c>
      <c r="P350" s="35">
        <v>6.8</v>
      </c>
      <c r="Q350" s="35">
        <v>4.3</v>
      </c>
      <c r="R350" s="35">
        <f t="shared" si="178"/>
        <v>29.24</v>
      </c>
      <c r="S350" s="43">
        <v>32000</v>
      </c>
      <c r="T350" s="44">
        <f t="shared" ref="T350:T359" si="179">S350*10/100</f>
        <v>3200</v>
      </c>
      <c r="U350" s="63">
        <f>S350+T350</f>
        <v>35200</v>
      </c>
      <c r="V350" s="106"/>
      <c r="W350" s="106"/>
      <c r="X350" s="52"/>
      <c r="Y350" s="48">
        <f t="shared" si="153"/>
        <v>0</v>
      </c>
      <c r="Z350" s="69">
        <v>0</v>
      </c>
      <c r="AA350" s="50">
        <f t="shared" si="176"/>
        <v>0</v>
      </c>
      <c r="AB350" s="50"/>
      <c r="AC350" s="52">
        <v>36800</v>
      </c>
      <c r="AD350" s="52">
        <f>S350*1.15-AC350</f>
        <v>0</v>
      </c>
      <c r="AE350" s="52">
        <f>S350*1.15+X350-AB350-AC350</f>
        <v>0</v>
      </c>
      <c r="AF350" s="52" t="b">
        <v>0</v>
      </c>
      <c r="AG350" s="52"/>
      <c r="AH350" s="52"/>
      <c r="AI350" s="52"/>
      <c r="AJ350" s="52"/>
      <c r="AK350" s="52"/>
      <c r="AL350" s="52"/>
      <c r="AM350" s="52" t="b">
        <v>0</v>
      </c>
      <c r="AN350" s="52"/>
      <c r="AO350" s="52"/>
      <c r="AP350" s="52"/>
      <c r="AQ350" s="52"/>
      <c r="AR350" s="52"/>
      <c r="AS350" s="52" t="b">
        <v>0</v>
      </c>
      <c r="AT350" s="52"/>
      <c r="AU350" s="52"/>
      <c r="AV350" s="52"/>
      <c r="AW350" s="52"/>
      <c r="AX350" s="52" t="str">
        <f t="shared" si="155"/>
        <v>ملتزم</v>
      </c>
      <c r="AY350" s="54" t="s">
        <v>69</v>
      </c>
      <c r="AZ350" s="43" t="s">
        <v>107</v>
      </c>
      <c r="BA350" s="55"/>
      <c r="BB350" s="55"/>
      <c r="BC350" s="55"/>
      <c r="BD350" s="54"/>
      <c r="BE350" s="68">
        <v>20355</v>
      </c>
      <c r="BF350" s="54"/>
      <c r="BG350" s="54"/>
      <c r="BH350" s="54"/>
      <c r="BI350" s="54" t="s">
        <v>112</v>
      </c>
      <c r="BJ350" s="54">
        <f>(U350+V350+AE350)-BD350-BE350</f>
        <v>14845</v>
      </c>
      <c r="BK350" s="54" t="s">
        <v>113</v>
      </c>
    </row>
    <row r="351" spans="1:63" ht="34.5" hidden="1" customHeight="1" x14ac:dyDescent="0.25">
      <c r="A351" s="35">
        <f t="shared" si="177"/>
        <v>198</v>
      </c>
      <c r="B351" s="35" t="s">
        <v>719</v>
      </c>
      <c r="C351" s="105">
        <v>20985985876</v>
      </c>
      <c r="D351" s="37" t="s">
        <v>106</v>
      </c>
      <c r="E351" s="81" t="b">
        <v>0</v>
      </c>
      <c r="F351" s="81"/>
      <c r="G351" s="113">
        <v>46022</v>
      </c>
      <c r="H351" s="35">
        <v>1</v>
      </c>
      <c r="I351" s="35">
        <v>253</v>
      </c>
      <c r="J351" s="95" t="s">
        <v>662</v>
      </c>
      <c r="K351" s="81">
        <v>7008604576</v>
      </c>
      <c r="L351" s="81">
        <v>555726779</v>
      </c>
      <c r="M351" s="81">
        <v>1001616893</v>
      </c>
      <c r="N351" s="35" t="s">
        <v>73</v>
      </c>
      <c r="O351" s="35" t="s">
        <v>97</v>
      </c>
      <c r="P351" s="35">
        <v>4.7</v>
      </c>
      <c r="Q351" s="35">
        <v>4</v>
      </c>
      <c r="R351" s="35">
        <f t="shared" si="178"/>
        <v>18.8</v>
      </c>
      <c r="S351" s="44">
        <v>30000</v>
      </c>
      <c r="T351" s="44">
        <f t="shared" si="179"/>
        <v>3000</v>
      </c>
      <c r="U351" s="63">
        <f>S351+T351+200</f>
        <v>33200</v>
      </c>
      <c r="V351" s="44"/>
      <c r="W351" s="44"/>
      <c r="X351" s="115"/>
      <c r="Y351" s="89">
        <f t="shared" si="153"/>
        <v>0</v>
      </c>
      <c r="Z351" s="91"/>
      <c r="AA351" s="91"/>
      <c r="AB351" s="91"/>
      <c r="AC351" s="54">
        <v>34500</v>
      </c>
      <c r="AD351" s="54">
        <f>S351*1.15-AC351</f>
        <v>0</v>
      </c>
      <c r="AE351" s="53">
        <f>S351*1.15+X351-AB351-AC351</f>
        <v>0</v>
      </c>
      <c r="AF351" s="54" t="b">
        <v>1</v>
      </c>
      <c r="AG351" s="134">
        <v>45667</v>
      </c>
      <c r="AH351" s="54">
        <v>29530</v>
      </c>
      <c r="AI351" s="54" t="s">
        <v>68</v>
      </c>
      <c r="AJ351" s="52" t="s">
        <v>136</v>
      </c>
      <c r="AK351" s="128" t="s">
        <v>720</v>
      </c>
      <c r="AL351" s="128"/>
      <c r="AM351" s="54" t="b">
        <v>0</v>
      </c>
      <c r="AN351" s="126" t="s">
        <v>152</v>
      </c>
      <c r="AO351" s="54">
        <v>29530</v>
      </c>
      <c r="AP351" s="54"/>
      <c r="AQ351" s="54"/>
      <c r="AR351" s="54"/>
      <c r="AS351" s="54" t="b">
        <v>0</v>
      </c>
      <c r="AT351" s="54"/>
      <c r="AU351" s="54"/>
      <c r="AV351" s="54"/>
      <c r="AW351" s="54"/>
      <c r="AX351" s="54" t="str">
        <f t="shared" si="155"/>
        <v>ملتزم</v>
      </c>
      <c r="AY351" s="54" t="s">
        <v>77</v>
      </c>
      <c r="AZ351" s="43" t="s">
        <v>107</v>
      </c>
      <c r="BA351" s="55"/>
      <c r="BB351" s="55"/>
      <c r="BC351" s="55"/>
      <c r="BD351" s="54"/>
      <c r="BE351" s="68">
        <v>8650</v>
      </c>
      <c r="BF351" s="54"/>
      <c r="BG351" s="54"/>
      <c r="BH351" s="54"/>
      <c r="BI351" s="54" t="s">
        <v>72</v>
      </c>
      <c r="BJ351" s="54">
        <f>(U351+V351+AE351)-BD351-BE351</f>
        <v>24550</v>
      </c>
      <c r="BK351" s="54"/>
    </row>
    <row r="352" spans="1:63" ht="34.5" hidden="1" customHeight="1" x14ac:dyDescent="0.25">
      <c r="A352" s="35">
        <f t="shared" si="177"/>
        <v>199</v>
      </c>
      <c r="B352" s="35" t="s">
        <v>721</v>
      </c>
      <c r="C352" s="105">
        <v>20707463022</v>
      </c>
      <c r="D352" s="81" t="s">
        <v>100</v>
      </c>
      <c r="E352" s="81" t="b">
        <v>0</v>
      </c>
      <c r="F352" s="81"/>
      <c r="G352" s="65">
        <v>45657</v>
      </c>
      <c r="H352" s="35">
        <v>1</v>
      </c>
      <c r="I352" s="35">
        <v>261</v>
      </c>
      <c r="J352" s="95" t="s">
        <v>722</v>
      </c>
      <c r="K352" s="81">
        <v>7005286880</v>
      </c>
      <c r="L352" s="81">
        <v>506548943</v>
      </c>
      <c r="M352" s="81">
        <v>1104889975</v>
      </c>
      <c r="N352" s="35" t="s">
        <v>73</v>
      </c>
      <c r="O352" s="35" t="s">
        <v>97</v>
      </c>
      <c r="P352" s="35">
        <v>4</v>
      </c>
      <c r="Q352" s="35">
        <v>4</v>
      </c>
      <c r="R352" s="35">
        <f t="shared" si="178"/>
        <v>16</v>
      </c>
      <c r="S352" s="44">
        <v>30000</v>
      </c>
      <c r="T352" s="44">
        <f t="shared" si="179"/>
        <v>3000</v>
      </c>
      <c r="U352" s="63">
        <f t="shared" ref="U352:U355" si="180">S352+T352</f>
        <v>33000</v>
      </c>
      <c r="V352" s="106"/>
      <c r="W352" s="106"/>
      <c r="X352" s="45"/>
      <c r="Y352" s="48">
        <f t="shared" si="153"/>
        <v>0</v>
      </c>
      <c r="Z352" s="50"/>
      <c r="AA352" s="50"/>
      <c r="AB352" s="50"/>
      <c r="AC352" s="52">
        <v>34500</v>
      </c>
      <c r="AD352" s="52">
        <f>S352*1.15-AC352</f>
        <v>0</v>
      </c>
      <c r="AE352" s="53">
        <f>S352*1.15+X352-AB352-AC352</f>
        <v>0</v>
      </c>
      <c r="AF352" s="52" t="b">
        <v>0</v>
      </c>
      <c r="AG352" s="52"/>
      <c r="AH352" s="52"/>
      <c r="AI352" s="52"/>
      <c r="AJ352" s="52"/>
      <c r="AK352" s="52"/>
      <c r="AL352" s="52"/>
      <c r="AM352" s="52" t="b">
        <v>0</v>
      </c>
      <c r="AN352" s="52"/>
      <c r="AO352" s="52"/>
      <c r="AP352" s="52"/>
      <c r="AQ352" s="52"/>
      <c r="AR352" s="52"/>
      <c r="AS352" s="52" t="b">
        <v>0</v>
      </c>
      <c r="AT352" s="52"/>
      <c r="AU352" s="52"/>
      <c r="AV352" s="52"/>
      <c r="AW352" s="52"/>
      <c r="AX352" s="52" t="str">
        <f t="shared" si="155"/>
        <v>ملتزم</v>
      </c>
      <c r="AY352" s="54" t="s">
        <v>77</v>
      </c>
      <c r="AZ352" s="43" t="s">
        <v>103</v>
      </c>
      <c r="BA352" s="55" t="s">
        <v>723</v>
      </c>
      <c r="BB352" s="55"/>
      <c r="BC352" s="55"/>
      <c r="BD352" s="54"/>
      <c r="BE352" s="68"/>
      <c r="BF352" s="54"/>
      <c r="BG352" s="54"/>
      <c r="BH352" s="54"/>
      <c r="BI352" s="52" t="s">
        <v>76</v>
      </c>
      <c r="BJ352" s="54">
        <f>(U352+V352+AE352)-BD352-BE352</f>
        <v>33000</v>
      </c>
      <c r="BK352" s="54"/>
    </row>
    <row r="353" spans="1:63" ht="34.5" hidden="1" customHeight="1" x14ac:dyDescent="0.25">
      <c r="A353" s="35">
        <f t="shared" si="177"/>
        <v>200</v>
      </c>
      <c r="B353" s="35" t="s">
        <v>724</v>
      </c>
      <c r="C353" s="111">
        <v>20971010014</v>
      </c>
      <c r="D353" s="37" t="s">
        <v>106</v>
      </c>
      <c r="E353" s="81" t="b">
        <v>0</v>
      </c>
      <c r="F353" s="81"/>
      <c r="G353" s="65">
        <v>46022</v>
      </c>
      <c r="H353" s="35">
        <v>1</v>
      </c>
      <c r="I353" s="35">
        <v>37</v>
      </c>
      <c r="J353" s="95">
        <v>26665</v>
      </c>
      <c r="K353" s="86">
        <v>7040916434</v>
      </c>
      <c r="L353" s="87">
        <v>502859873</v>
      </c>
      <c r="M353" s="81">
        <v>2131773042</v>
      </c>
      <c r="N353" s="35" t="s">
        <v>64</v>
      </c>
      <c r="O353" s="42" t="s">
        <v>97</v>
      </c>
      <c r="P353" s="35">
        <v>4.5999999999999996</v>
      </c>
      <c r="Q353" s="35">
        <v>3.6</v>
      </c>
      <c r="R353" s="35">
        <f t="shared" si="178"/>
        <v>16.559999999999999</v>
      </c>
      <c r="S353" s="43">
        <v>40000</v>
      </c>
      <c r="T353" s="44">
        <f t="shared" si="179"/>
        <v>4000</v>
      </c>
      <c r="U353" s="63">
        <f t="shared" si="180"/>
        <v>44000</v>
      </c>
      <c r="V353" s="140"/>
      <c r="W353" s="140"/>
      <c r="X353" s="52">
        <v>0</v>
      </c>
      <c r="Y353" s="48">
        <f t="shared" si="153"/>
        <v>0</v>
      </c>
      <c r="Z353" s="69">
        <v>0</v>
      </c>
      <c r="AA353" s="50">
        <f t="shared" ref="AA353:AA355" si="181">Z353/1.15</f>
        <v>0</v>
      </c>
      <c r="AB353" s="50"/>
      <c r="AC353" s="52">
        <v>46000</v>
      </c>
      <c r="AD353" s="52">
        <f>S353*1.15-AC353</f>
        <v>0</v>
      </c>
      <c r="AE353" s="53">
        <f>S353*1.15+X353-AB353-AC353</f>
        <v>0</v>
      </c>
      <c r="AF353" s="52" t="b">
        <v>0</v>
      </c>
      <c r="AG353" s="52"/>
      <c r="AH353" s="52"/>
      <c r="AI353" s="52"/>
      <c r="AJ353" s="52"/>
      <c r="AK353" s="52"/>
      <c r="AL353" s="52"/>
      <c r="AM353" s="52" t="b">
        <v>0</v>
      </c>
      <c r="AN353" s="52"/>
      <c r="AO353" s="52"/>
      <c r="AP353" s="52"/>
      <c r="AQ353" s="52"/>
      <c r="AR353" s="52"/>
      <c r="AS353" s="52" t="b">
        <v>0</v>
      </c>
      <c r="AT353" s="52"/>
      <c r="AU353" s="52"/>
      <c r="AV353" s="52"/>
      <c r="AW353" s="52"/>
      <c r="AX353" s="52" t="str">
        <f t="shared" si="155"/>
        <v>ملتزم</v>
      </c>
      <c r="AY353" s="54" t="s">
        <v>69</v>
      </c>
      <c r="AZ353" s="43" t="s">
        <v>107</v>
      </c>
      <c r="BA353" s="55"/>
      <c r="BB353" s="55"/>
      <c r="BC353" s="55"/>
      <c r="BD353" s="54"/>
      <c r="BE353" s="68">
        <v>50830</v>
      </c>
      <c r="BF353" s="54"/>
      <c r="BG353" s="54"/>
      <c r="BH353" s="54"/>
      <c r="BI353" s="54" t="s">
        <v>76</v>
      </c>
      <c r="BJ353" s="54">
        <f>(U353+V353+AE353)-BD353-BE353</f>
        <v>-6830</v>
      </c>
      <c r="BK353" s="54" t="s">
        <v>205</v>
      </c>
    </row>
    <row r="354" spans="1:63" ht="34.5" hidden="1" customHeight="1" x14ac:dyDescent="0.25">
      <c r="A354" s="35">
        <f t="shared" si="177"/>
        <v>201</v>
      </c>
      <c r="B354" s="35" t="s">
        <v>725</v>
      </c>
      <c r="C354" s="105">
        <v>20918532367</v>
      </c>
      <c r="D354" s="37" t="s">
        <v>106</v>
      </c>
      <c r="E354" s="81" t="b">
        <v>0</v>
      </c>
      <c r="F354" s="81"/>
      <c r="G354" s="65">
        <v>46022</v>
      </c>
      <c r="H354" s="35">
        <v>2</v>
      </c>
      <c r="I354" s="35" t="s">
        <v>726</v>
      </c>
      <c r="J354" s="95" t="s">
        <v>727</v>
      </c>
      <c r="K354" s="81">
        <v>7017923371</v>
      </c>
      <c r="L354" s="81">
        <v>537375857</v>
      </c>
      <c r="M354" s="81">
        <v>1135632915</v>
      </c>
      <c r="N354" s="35" t="s">
        <v>73</v>
      </c>
      <c r="O354" s="35" t="s">
        <v>97</v>
      </c>
      <c r="P354" s="35">
        <v>10.65</v>
      </c>
      <c r="Q354" s="35">
        <v>4.6500000000000004</v>
      </c>
      <c r="R354" s="35">
        <f t="shared" si="178"/>
        <v>49.522500000000008</v>
      </c>
      <c r="S354" s="43">
        <v>60000</v>
      </c>
      <c r="T354" s="44">
        <f t="shared" si="179"/>
        <v>6000</v>
      </c>
      <c r="U354" s="63">
        <f t="shared" si="180"/>
        <v>66000</v>
      </c>
      <c r="V354" s="106"/>
      <c r="W354" s="106"/>
      <c r="X354" s="45"/>
      <c r="Y354" s="48">
        <f t="shared" si="153"/>
        <v>0</v>
      </c>
      <c r="Z354" s="50">
        <v>0</v>
      </c>
      <c r="AA354" s="50">
        <f t="shared" si="181"/>
        <v>0</v>
      </c>
      <c r="AB354" s="50">
        <v>0</v>
      </c>
      <c r="AC354" s="52">
        <v>46000</v>
      </c>
      <c r="AD354" s="52">
        <f>S354*1.15-AC354</f>
        <v>23000</v>
      </c>
      <c r="AE354" s="53">
        <f>S354*1.15+X354-AB354-AC354</f>
        <v>23000</v>
      </c>
      <c r="AF354" s="52" t="b">
        <v>0</v>
      </c>
      <c r="AG354" s="52"/>
      <c r="AH354" s="52"/>
      <c r="AI354" s="52"/>
      <c r="AJ354" s="52"/>
      <c r="AK354" s="52"/>
      <c r="AL354" s="52"/>
      <c r="AM354" s="52" t="b">
        <v>0</v>
      </c>
      <c r="AN354" s="52"/>
      <c r="AO354" s="52"/>
      <c r="AP354" s="52"/>
      <c r="AQ354" s="52"/>
      <c r="AR354" s="52"/>
      <c r="AS354" s="52" t="b">
        <v>0</v>
      </c>
      <c r="AT354" s="52"/>
      <c r="AU354" s="52"/>
      <c r="AV354" s="52"/>
      <c r="AW354" s="52"/>
      <c r="AX354" s="52" t="str">
        <f t="shared" si="155"/>
        <v>غير ملتزم</v>
      </c>
      <c r="AY354" s="54" t="s">
        <v>77</v>
      </c>
      <c r="AZ354" s="43" t="s">
        <v>107</v>
      </c>
      <c r="BA354" s="55"/>
      <c r="BB354" s="55"/>
      <c r="BC354" s="55"/>
      <c r="BD354" s="54"/>
      <c r="BE354" s="68">
        <v>0</v>
      </c>
      <c r="BF354" s="54"/>
      <c r="BG354" s="54"/>
      <c r="BH354" s="54"/>
      <c r="BI354" s="54" t="s">
        <v>76</v>
      </c>
      <c r="BJ354" s="54">
        <f>(U354+V354+AE354)-BD354-BE354</f>
        <v>89000</v>
      </c>
      <c r="BK354" s="54"/>
    </row>
    <row r="355" spans="1:63" ht="34.5" hidden="1" customHeight="1" x14ac:dyDescent="0.25">
      <c r="A355" s="35">
        <f t="shared" si="177"/>
        <v>202</v>
      </c>
      <c r="B355" s="35" t="s">
        <v>728</v>
      </c>
      <c r="C355" s="105">
        <v>20448599037</v>
      </c>
      <c r="D355" s="37" t="s">
        <v>106</v>
      </c>
      <c r="E355" s="81" t="b">
        <v>0</v>
      </c>
      <c r="F355" s="81"/>
      <c r="G355" s="65">
        <v>46022</v>
      </c>
      <c r="H355" s="35">
        <v>2</v>
      </c>
      <c r="I355" s="35" t="s">
        <v>729</v>
      </c>
      <c r="J355" s="95" t="s">
        <v>730</v>
      </c>
      <c r="K355" s="87">
        <v>7011122731</v>
      </c>
      <c r="L355" s="87">
        <v>557700991</v>
      </c>
      <c r="M355" s="81">
        <v>1108977768</v>
      </c>
      <c r="N355" s="35" t="s">
        <v>73</v>
      </c>
      <c r="O355" s="35" t="s">
        <v>97</v>
      </c>
      <c r="P355" s="35">
        <v>10.6</v>
      </c>
      <c r="Q355" s="35">
        <v>4.6500000000000004</v>
      </c>
      <c r="R355" s="35">
        <f t="shared" si="178"/>
        <v>49.29</v>
      </c>
      <c r="S355" s="43">
        <v>60000</v>
      </c>
      <c r="T355" s="44">
        <f t="shared" si="179"/>
        <v>6000</v>
      </c>
      <c r="U355" s="63">
        <f t="shared" si="180"/>
        <v>66000</v>
      </c>
      <c r="V355" s="106"/>
      <c r="W355" s="106"/>
      <c r="X355" s="52">
        <v>0</v>
      </c>
      <c r="Y355" s="48">
        <f t="shared" si="153"/>
        <v>0</v>
      </c>
      <c r="Z355" s="50">
        <v>0</v>
      </c>
      <c r="AA355" s="50">
        <f t="shared" si="181"/>
        <v>0</v>
      </c>
      <c r="AB355" s="50"/>
      <c r="AC355" s="52">
        <v>69000</v>
      </c>
      <c r="AD355" s="52">
        <f>S355*1.15-AC355</f>
        <v>0</v>
      </c>
      <c r="AE355" s="53">
        <f>S355*1.15+X355-AB355-AC355</f>
        <v>0</v>
      </c>
      <c r="AF355" s="52" t="b">
        <v>0</v>
      </c>
      <c r="AG355" s="52"/>
      <c r="AH355" s="52"/>
      <c r="AI355" s="52"/>
      <c r="AJ355" s="52"/>
      <c r="AK355" s="52"/>
      <c r="AL355" s="52"/>
      <c r="AM355" s="52" t="b">
        <v>0</v>
      </c>
      <c r="AN355" s="52"/>
      <c r="AO355" s="52"/>
      <c r="AP355" s="52"/>
      <c r="AQ355" s="52"/>
      <c r="AR355" s="52"/>
      <c r="AS355" s="52" t="b">
        <v>0</v>
      </c>
      <c r="AT355" s="52"/>
      <c r="AU355" s="52"/>
      <c r="AV355" s="52"/>
      <c r="AW355" s="52"/>
      <c r="AX355" s="52" t="str">
        <f t="shared" si="155"/>
        <v>ملتزم</v>
      </c>
      <c r="AY355" s="54" t="s">
        <v>69</v>
      </c>
      <c r="AZ355" s="43" t="s">
        <v>107</v>
      </c>
      <c r="BA355" s="55"/>
      <c r="BB355" s="55"/>
      <c r="BC355" s="55"/>
      <c r="BD355" s="54"/>
      <c r="BE355" s="68">
        <v>38065</v>
      </c>
      <c r="BF355" s="54"/>
      <c r="BG355" s="54"/>
      <c r="BH355" s="54"/>
      <c r="BI355" s="54" t="s">
        <v>76</v>
      </c>
      <c r="BJ355" s="54">
        <f>(U355+V355+AE355)-BD355-BE355</f>
        <v>27935</v>
      </c>
      <c r="BK355" s="54"/>
    </row>
    <row r="356" spans="1:63" ht="34.5" hidden="1" customHeight="1" x14ac:dyDescent="0.25">
      <c r="A356" s="35">
        <f t="shared" si="177"/>
        <v>203</v>
      </c>
      <c r="B356" s="35" t="s">
        <v>731</v>
      </c>
      <c r="C356" s="105">
        <v>20969127870</v>
      </c>
      <c r="D356" s="37" t="s">
        <v>106</v>
      </c>
      <c r="E356" s="81" t="b">
        <v>0</v>
      </c>
      <c r="F356" s="81"/>
      <c r="G356" s="113">
        <v>46022</v>
      </c>
      <c r="H356" s="35">
        <v>1</v>
      </c>
      <c r="I356" s="35">
        <v>285</v>
      </c>
      <c r="J356" s="84" t="s">
        <v>732</v>
      </c>
      <c r="K356" s="81">
        <v>7002226582</v>
      </c>
      <c r="L356" s="81">
        <v>503668410</v>
      </c>
      <c r="M356" s="81">
        <v>1002604088</v>
      </c>
      <c r="N356" s="35" t="s">
        <v>73</v>
      </c>
      <c r="O356" s="35" t="s">
        <v>97</v>
      </c>
      <c r="P356" s="35">
        <v>5</v>
      </c>
      <c r="Q356" s="35">
        <v>3.6</v>
      </c>
      <c r="R356" s="35">
        <f t="shared" si="178"/>
        <v>18</v>
      </c>
      <c r="S356" s="44">
        <v>30000</v>
      </c>
      <c r="T356" s="44">
        <f t="shared" si="179"/>
        <v>3000</v>
      </c>
      <c r="U356" s="63">
        <f>S356+T356+200</f>
        <v>33200</v>
      </c>
      <c r="V356" s="44"/>
      <c r="W356" s="44"/>
      <c r="X356" s="115">
        <v>0</v>
      </c>
      <c r="Y356" s="89">
        <f t="shared" si="153"/>
        <v>0</v>
      </c>
      <c r="Z356" s="91">
        <v>0</v>
      </c>
      <c r="AA356" s="91">
        <v>0</v>
      </c>
      <c r="AB356" s="91"/>
      <c r="AC356" s="54">
        <v>34500</v>
      </c>
      <c r="AD356" s="54">
        <f>S356*1.15-AC356</f>
        <v>0</v>
      </c>
      <c r="AE356" s="53">
        <f>S356*1.15+X356-AB356-AC356</f>
        <v>0</v>
      </c>
      <c r="AF356" s="54" t="b">
        <v>1</v>
      </c>
      <c r="AG356" s="54" t="s">
        <v>67</v>
      </c>
      <c r="AH356" s="54">
        <v>19090</v>
      </c>
      <c r="AI356" s="54" t="s">
        <v>68</v>
      </c>
      <c r="AJ356" s="52" t="s">
        <v>136</v>
      </c>
      <c r="AK356" s="128" t="s">
        <v>733</v>
      </c>
      <c r="AL356" s="128"/>
      <c r="AM356" s="54" t="b">
        <v>0</v>
      </c>
      <c r="AN356" s="117">
        <v>45971</v>
      </c>
      <c r="AO356" s="54">
        <v>19090</v>
      </c>
      <c r="AP356" s="54"/>
      <c r="AQ356" s="54"/>
      <c r="AR356" s="54"/>
      <c r="AS356" s="54" t="b">
        <v>0</v>
      </c>
      <c r="AT356" s="118"/>
      <c r="AU356" s="54"/>
      <c r="AV356" s="54"/>
      <c r="AW356" s="54"/>
      <c r="AX356" s="54" t="str">
        <f t="shared" si="155"/>
        <v>ملتزم</v>
      </c>
      <c r="AY356" s="54" t="s">
        <v>77</v>
      </c>
      <c r="AZ356" s="43" t="s">
        <v>103</v>
      </c>
      <c r="BA356" s="55"/>
      <c r="BB356" s="55"/>
      <c r="BC356" s="55"/>
      <c r="BD356" s="54"/>
      <c r="BE356" s="68">
        <v>19090</v>
      </c>
      <c r="BF356" s="54"/>
      <c r="BG356" s="54"/>
      <c r="BH356" s="54"/>
      <c r="BI356" s="54" t="s">
        <v>72</v>
      </c>
      <c r="BJ356" s="54">
        <f>(U356+V356+AE356)-BD356-BE356</f>
        <v>14110</v>
      </c>
      <c r="BK356" s="54" t="s">
        <v>734</v>
      </c>
    </row>
    <row r="357" spans="1:63" ht="34.5" hidden="1" customHeight="1" x14ac:dyDescent="0.25">
      <c r="A357" s="35">
        <f t="shared" si="177"/>
        <v>204</v>
      </c>
      <c r="B357" s="35" t="s">
        <v>735</v>
      </c>
      <c r="C357" s="105">
        <v>20616864211</v>
      </c>
      <c r="D357" s="37" t="s">
        <v>106</v>
      </c>
      <c r="E357" s="81" t="b">
        <v>0</v>
      </c>
      <c r="F357" s="81"/>
      <c r="G357" s="65">
        <v>46022</v>
      </c>
      <c r="H357" s="35">
        <v>2</v>
      </c>
      <c r="I357" s="35" t="s">
        <v>736</v>
      </c>
      <c r="J357" s="95" t="s">
        <v>361</v>
      </c>
      <c r="K357" s="87">
        <v>7040923307</v>
      </c>
      <c r="L357" s="87">
        <v>560717442</v>
      </c>
      <c r="M357" s="81">
        <v>1096922131</v>
      </c>
      <c r="N357" s="35" t="s">
        <v>73</v>
      </c>
      <c r="O357" s="35" t="s">
        <v>97</v>
      </c>
      <c r="P357" s="35">
        <v>10.65</v>
      </c>
      <c r="Q357" s="35">
        <v>4.6500000000000004</v>
      </c>
      <c r="R357" s="35">
        <f t="shared" si="178"/>
        <v>49.522500000000008</v>
      </c>
      <c r="S357" s="43">
        <v>60000</v>
      </c>
      <c r="T357" s="44">
        <f t="shared" si="179"/>
        <v>6000</v>
      </c>
      <c r="U357" s="63">
        <f t="shared" ref="U357:U360" si="182">S357+T357</f>
        <v>66000</v>
      </c>
      <c r="V357" s="140"/>
      <c r="W357" s="140"/>
      <c r="X357" s="52"/>
      <c r="Y357" s="48">
        <f t="shared" si="153"/>
        <v>0</v>
      </c>
      <c r="Z357" s="50">
        <v>0</v>
      </c>
      <c r="AA357" s="50">
        <f t="shared" ref="AA357:AA362" si="183">Z357/1.15</f>
        <v>0</v>
      </c>
      <c r="AB357" s="50"/>
      <c r="AC357" s="52">
        <v>69000</v>
      </c>
      <c r="AD357" s="52">
        <f>S357*1.15-AC357</f>
        <v>0</v>
      </c>
      <c r="AE357" s="53">
        <f>S357*1.15+X357-AB357-AC357</f>
        <v>0</v>
      </c>
      <c r="AF357" s="52" t="b">
        <v>0</v>
      </c>
      <c r="AG357" s="52"/>
      <c r="AH357" s="52"/>
      <c r="AI357" s="52"/>
      <c r="AJ357" s="52"/>
      <c r="AK357" s="52"/>
      <c r="AL357" s="52"/>
      <c r="AM357" s="52" t="b">
        <v>0</v>
      </c>
      <c r="AN357" s="52"/>
      <c r="AO357" s="52"/>
      <c r="AP357" s="52"/>
      <c r="AQ357" s="52"/>
      <c r="AR357" s="52"/>
      <c r="AS357" s="52" t="b">
        <v>0</v>
      </c>
      <c r="AT357" s="52"/>
      <c r="AU357" s="52"/>
      <c r="AV357" s="52"/>
      <c r="AW357" s="52"/>
      <c r="AX357" s="52" t="str">
        <f t="shared" si="155"/>
        <v>ملتزم</v>
      </c>
      <c r="AY357" s="54" t="s">
        <v>69</v>
      </c>
      <c r="AZ357" s="43" t="s">
        <v>107</v>
      </c>
      <c r="BA357" s="55"/>
      <c r="BB357" s="55"/>
      <c r="BC357" s="55"/>
      <c r="BD357" s="54"/>
      <c r="BE357" s="68">
        <v>38065</v>
      </c>
      <c r="BF357" s="54"/>
      <c r="BG357" s="54"/>
      <c r="BH357" s="54"/>
      <c r="BI357" s="54" t="s">
        <v>112</v>
      </c>
      <c r="BJ357" s="54">
        <f>(U357+V357+AE357)-BD357-BE357</f>
        <v>27935</v>
      </c>
      <c r="BK357" s="54" t="s">
        <v>113</v>
      </c>
    </row>
    <row r="358" spans="1:63" ht="34.5" hidden="1" customHeight="1" x14ac:dyDescent="0.25">
      <c r="A358" s="35">
        <f t="shared" si="177"/>
        <v>205</v>
      </c>
      <c r="B358" s="57" t="s">
        <v>737</v>
      </c>
      <c r="C358" s="57"/>
      <c r="D358" s="81" t="s">
        <v>100</v>
      </c>
      <c r="E358" s="81" t="b">
        <v>0</v>
      </c>
      <c r="F358" s="81"/>
      <c r="G358" s="65"/>
      <c r="H358" s="42">
        <v>1</v>
      </c>
      <c r="I358" s="42">
        <v>2</v>
      </c>
      <c r="J358" s="59" t="s">
        <v>662</v>
      </c>
      <c r="K358" s="61">
        <v>7008604576</v>
      </c>
      <c r="L358" s="61">
        <v>555726779</v>
      </c>
      <c r="M358" s="61">
        <v>1001616893</v>
      </c>
      <c r="N358" s="35" t="s">
        <v>73</v>
      </c>
      <c r="O358" s="42" t="s">
        <v>74</v>
      </c>
      <c r="P358" s="35"/>
      <c r="Q358" s="35"/>
      <c r="R358" s="35">
        <v>54.2</v>
      </c>
      <c r="S358" s="62">
        <v>30000</v>
      </c>
      <c r="T358" s="44">
        <f t="shared" si="179"/>
        <v>3000</v>
      </c>
      <c r="U358" s="63">
        <f t="shared" si="182"/>
        <v>33000</v>
      </c>
      <c r="V358" s="64"/>
      <c r="W358" s="64"/>
      <c r="X358" s="51">
        <v>0</v>
      </c>
      <c r="Y358" s="48">
        <f t="shared" si="153"/>
        <v>0</v>
      </c>
      <c r="Z358" s="49">
        <v>0</v>
      </c>
      <c r="AA358" s="50">
        <f t="shared" si="183"/>
        <v>0</v>
      </c>
      <c r="AB358" s="50"/>
      <c r="AC358" s="51">
        <v>25875</v>
      </c>
      <c r="AD358" s="52">
        <f>S358*1.15-AC358</f>
        <v>8625</v>
      </c>
      <c r="AE358" s="53">
        <f>S358*1.15+X358-AB358-AC358</f>
        <v>8625</v>
      </c>
      <c r="AF358" s="52" t="b">
        <v>1</v>
      </c>
      <c r="AG358" s="52" t="s">
        <v>67</v>
      </c>
      <c r="AH358" s="52">
        <v>37950</v>
      </c>
      <c r="AI358" s="52" t="s">
        <v>68</v>
      </c>
      <c r="AJ358" s="52" t="s">
        <v>136</v>
      </c>
      <c r="AK358" s="116" t="s">
        <v>720</v>
      </c>
      <c r="AL358" s="116"/>
      <c r="AM358" s="52" t="b">
        <v>0</v>
      </c>
      <c r="AN358" s="117">
        <v>45971</v>
      </c>
      <c r="AO358" s="52">
        <v>37950</v>
      </c>
      <c r="AP358" s="54"/>
      <c r="AQ358" s="54"/>
      <c r="AR358" s="52"/>
      <c r="AS358" s="52" t="b">
        <v>0</v>
      </c>
      <c r="AT358" s="118"/>
      <c r="AU358" s="52"/>
      <c r="AV358" s="52"/>
      <c r="AW358" s="52"/>
      <c r="AX358" s="52" t="str">
        <f t="shared" si="155"/>
        <v>غير ملتزم</v>
      </c>
      <c r="AY358" s="54" t="s">
        <v>69</v>
      </c>
      <c r="AZ358" s="43" t="s">
        <v>70</v>
      </c>
      <c r="BA358" s="70" t="s">
        <v>738</v>
      </c>
      <c r="BB358" s="70"/>
      <c r="BC358" s="70"/>
      <c r="BD358" s="54"/>
      <c r="BE358" s="68">
        <v>0</v>
      </c>
      <c r="BF358" s="54"/>
      <c r="BG358" s="54"/>
      <c r="BH358" s="54"/>
      <c r="BI358" s="52" t="s">
        <v>72</v>
      </c>
      <c r="BJ358" s="54">
        <f>(U358+V358+AE358)-BD358-BE358</f>
        <v>41625</v>
      </c>
      <c r="BK358" s="54"/>
    </row>
    <row r="359" spans="1:63" ht="34.5" hidden="1" customHeight="1" x14ac:dyDescent="0.25">
      <c r="A359" s="35">
        <f t="shared" si="177"/>
        <v>206</v>
      </c>
      <c r="B359" s="35" t="s">
        <v>739</v>
      </c>
      <c r="C359" s="35"/>
      <c r="D359" s="81" t="s">
        <v>134</v>
      </c>
      <c r="E359" s="81" t="b">
        <v>0</v>
      </c>
      <c r="F359" s="81"/>
      <c r="G359" s="65"/>
      <c r="H359" s="35">
        <v>1</v>
      </c>
      <c r="I359" s="35">
        <v>84</v>
      </c>
      <c r="J359" s="85"/>
      <c r="K359" s="85">
        <v>7005846667</v>
      </c>
      <c r="L359" s="81">
        <v>540636400</v>
      </c>
      <c r="M359" s="81">
        <v>2463545075</v>
      </c>
      <c r="N359" s="35" t="s">
        <v>64</v>
      </c>
      <c r="O359" s="42" t="s">
        <v>65</v>
      </c>
      <c r="P359" s="35">
        <v>12.4</v>
      </c>
      <c r="Q359" s="35">
        <v>6.6</v>
      </c>
      <c r="R359" s="35">
        <f t="shared" ref="R359:R363" si="184">P359*Q359</f>
        <v>81.84</v>
      </c>
      <c r="S359" s="43">
        <v>25000</v>
      </c>
      <c r="T359" s="44">
        <f t="shared" si="179"/>
        <v>2500</v>
      </c>
      <c r="U359" s="63">
        <f t="shared" si="182"/>
        <v>27500</v>
      </c>
      <c r="V359" s="46">
        <v>36828</v>
      </c>
      <c r="W359" s="46"/>
      <c r="X359" s="82"/>
      <c r="Y359" s="48">
        <f t="shared" si="153"/>
        <v>0</v>
      </c>
      <c r="Z359" s="83">
        <v>0</v>
      </c>
      <c r="AA359" s="50">
        <f t="shared" si="183"/>
        <v>0</v>
      </c>
      <c r="AB359" s="50"/>
      <c r="AC359" s="82">
        <v>0</v>
      </c>
      <c r="AD359" s="52">
        <f>S359*1.15-AC359</f>
        <v>28749.999999999996</v>
      </c>
      <c r="AE359" s="73">
        <f>S359*1.15+X359-AB359-AC359</f>
        <v>28749.999999999996</v>
      </c>
      <c r="AF359" s="52" t="b">
        <v>0</v>
      </c>
      <c r="AG359" s="52"/>
      <c r="AH359" s="52"/>
      <c r="AI359" s="52"/>
      <c r="AJ359" s="52"/>
      <c r="AK359" s="52"/>
      <c r="AL359" s="52"/>
      <c r="AM359" s="52" t="b">
        <v>0</v>
      </c>
      <c r="AN359" s="52"/>
      <c r="AO359" s="52"/>
      <c r="AP359" s="52"/>
      <c r="AQ359" s="52"/>
      <c r="AR359" s="52"/>
      <c r="AS359" s="52" t="b">
        <v>0</v>
      </c>
      <c r="AT359" s="52"/>
      <c r="AU359" s="52"/>
      <c r="AV359" s="52"/>
      <c r="AW359" s="52"/>
      <c r="AX359" s="52" t="str">
        <f t="shared" si="155"/>
        <v>غير ملتزم</v>
      </c>
      <c r="AY359" s="54" t="s">
        <v>69</v>
      </c>
      <c r="AZ359" s="43" t="s">
        <v>78</v>
      </c>
      <c r="BA359" s="55"/>
      <c r="BB359" s="55"/>
      <c r="BC359" s="55"/>
      <c r="BD359" s="54"/>
      <c r="BE359" s="54"/>
      <c r="BF359" s="54"/>
      <c r="BG359" s="54"/>
      <c r="BH359" s="54"/>
      <c r="BI359" s="52" t="s">
        <v>76</v>
      </c>
      <c r="BJ359" s="54">
        <f>(U359+V359+AE359)-BD359-BE359</f>
        <v>93078</v>
      </c>
      <c r="BK359" s="54"/>
    </row>
    <row r="360" spans="1:63" ht="34.5" hidden="1" customHeight="1" x14ac:dyDescent="0.25">
      <c r="A360" s="35">
        <f t="shared" si="177"/>
        <v>207</v>
      </c>
      <c r="B360" s="35" t="s">
        <v>740</v>
      </c>
      <c r="C360" s="105">
        <v>20103370004</v>
      </c>
      <c r="D360" s="37" t="s">
        <v>106</v>
      </c>
      <c r="E360" s="37" t="b">
        <v>0</v>
      </c>
      <c r="F360" s="37"/>
      <c r="G360" s="65">
        <v>46022</v>
      </c>
      <c r="H360" s="35">
        <v>2</v>
      </c>
      <c r="I360" s="35" t="s">
        <v>741</v>
      </c>
      <c r="J360" s="160" t="s">
        <v>742</v>
      </c>
      <c r="K360" s="161">
        <v>7012607722</v>
      </c>
      <c r="L360" s="161">
        <v>505607148</v>
      </c>
      <c r="M360" s="161">
        <v>1000611812</v>
      </c>
      <c r="N360" s="35" t="s">
        <v>73</v>
      </c>
      <c r="O360" s="35" t="s">
        <v>97</v>
      </c>
      <c r="P360" s="35">
        <v>8.6300000000000008</v>
      </c>
      <c r="Q360" s="35">
        <v>4.7699999999999996</v>
      </c>
      <c r="R360" s="35">
        <f t="shared" si="184"/>
        <v>41.165100000000002</v>
      </c>
      <c r="S360" s="44">
        <v>64000</v>
      </c>
      <c r="T360" s="44">
        <f>S360*20/100</f>
        <v>12800</v>
      </c>
      <c r="U360" s="63">
        <f t="shared" si="182"/>
        <v>76800</v>
      </c>
      <c r="V360" s="106"/>
      <c r="W360" s="106"/>
      <c r="X360" s="52">
        <v>0</v>
      </c>
      <c r="Y360" s="48">
        <f t="shared" si="153"/>
        <v>0</v>
      </c>
      <c r="Z360" s="50">
        <v>0</v>
      </c>
      <c r="AA360" s="50">
        <f t="shared" si="183"/>
        <v>0</v>
      </c>
      <c r="AB360" s="50"/>
      <c r="AC360" s="52">
        <v>73600</v>
      </c>
      <c r="AD360" s="52">
        <f>S360*1.15-AC360</f>
        <v>0</v>
      </c>
      <c r="AE360" s="52">
        <f>S360*1.15+X360-AB360-AC360</f>
        <v>0</v>
      </c>
      <c r="AF360" s="52" t="b">
        <v>0</v>
      </c>
      <c r="AG360" s="52"/>
      <c r="AH360" s="52"/>
      <c r="AI360" s="52"/>
      <c r="AJ360" s="52"/>
      <c r="AK360" s="52"/>
      <c r="AL360" s="52"/>
      <c r="AM360" s="52" t="b">
        <v>0</v>
      </c>
      <c r="AN360" s="52"/>
      <c r="AO360" s="52"/>
      <c r="AP360" s="52"/>
      <c r="AQ360" s="52"/>
      <c r="AR360" s="52"/>
      <c r="AS360" s="52" t="b">
        <v>0</v>
      </c>
      <c r="AT360" s="52"/>
      <c r="AU360" s="52"/>
      <c r="AV360" s="52"/>
      <c r="AW360" s="52"/>
      <c r="AX360" s="52" t="str">
        <f t="shared" si="155"/>
        <v>ملتزم</v>
      </c>
      <c r="AY360" s="54" t="s">
        <v>77</v>
      </c>
      <c r="AZ360" s="43" t="s">
        <v>107</v>
      </c>
      <c r="BA360" s="55"/>
      <c r="BB360" s="55"/>
      <c r="BC360" s="55"/>
      <c r="BD360" s="54"/>
      <c r="BE360" s="68">
        <v>66450</v>
      </c>
      <c r="BF360" s="54"/>
      <c r="BG360" s="54"/>
      <c r="BH360" s="54"/>
      <c r="BI360" s="54" t="s">
        <v>112</v>
      </c>
      <c r="BJ360" s="54">
        <f>(U360+V360+AE360)-BD360-BE360</f>
        <v>10350</v>
      </c>
      <c r="BK360" s="54" t="s">
        <v>113</v>
      </c>
    </row>
    <row r="361" spans="1:63" ht="34.5" hidden="1" customHeight="1" x14ac:dyDescent="0.25">
      <c r="A361" s="35">
        <f t="shared" si="177"/>
        <v>208</v>
      </c>
      <c r="B361" s="35" t="s">
        <v>743</v>
      </c>
      <c r="C361" s="105">
        <v>20246862997</v>
      </c>
      <c r="D361" s="37" t="s">
        <v>106</v>
      </c>
      <c r="E361" s="81" t="b">
        <v>0</v>
      </c>
      <c r="F361" s="81"/>
      <c r="G361" s="113">
        <v>46022</v>
      </c>
      <c r="H361" s="35">
        <v>3</v>
      </c>
      <c r="I361" s="35" t="s">
        <v>744</v>
      </c>
      <c r="J361" s="95" t="s">
        <v>745</v>
      </c>
      <c r="K361" s="81">
        <v>7013149435</v>
      </c>
      <c r="L361" s="81">
        <v>504663728</v>
      </c>
      <c r="M361" s="81">
        <v>1001224672</v>
      </c>
      <c r="N361" s="35" t="s">
        <v>73</v>
      </c>
      <c r="O361" s="35" t="s">
        <v>97</v>
      </c>
      <c r="P361" s="35">
        <v>12</v>
      </c>
      <c r="Q361" s="35">
        <v>5</v>
      </c>
      <c r="R361" s="35">
        <f t="shared" si="184"/>
        <v>60</v>
      </c>
      <c r="S361" s="44">
        <v>94000</v>
      </c>
      <c r="T361" s="44">
        <f t="shared" ref="T361:T362" si="185">S361*10/100</f>
        <v>9400</v>
      </c>
      <c r="U361" s="63">
        <f>S361+T361+200</f>
        <v>103600</v>
      </c>
      <c r="V361" s="44"/>
      <c r="W361" s="44"/>
      <c r="X361" s="54">
        <v>0</v>
      </c>
      <c r="Y361" s="89">
        <f t="shared" si="153"/>
        <v>0</v>
      </c>
      <c r="Z361" s="91">
        <v>0</v>
      </c>
      <c r="AA361" s="91">
        <f t="shared" si="183"/>
        <v>0</v>
      </c>
      <c r="AB361" s="91"/>
      <c r="AC361" s="54">
        <v>108100</v>
      </c>
      <c r="AD361" s="54">
        <f>S361*1.15-AC361</f>
        <v>0</v>
      </c>
      <c r="AE361" s="53">
        <f>S361*1.15+X361-AB361-AC361</f>
        <v>0</v>
      </c>
      <c r="AF361" s="52" t="b">
        <v>0</v>
      </c>
      <c r="AG361" s="52"/>
      <c r="AH361" s="52"/>
      <c r="AI361" s="52"/>
      <c r="AJ361" s="52"/>
      <c r="AK361" s="52"/>
      <c r="AL361" s="52"/>
      <c r="AM361" s="52" t="b">
        <v>0</v>
      </c>
      <c r="AN361" s="52"/>
      <c r="AO361" s="52"/>
      <c r="AP361" s="52"/>
      <c r="AQ361" s="52"/>
      <c r="AR361" s="52"/>
      <c r="AS361" s="52" t="b">
        <v>0</v>
      </c>
      <c r="AT361" s="54"/>
      <c r="AU361" s="54"/>
      <c r="AV361" s="54"/>
      <c r="AW361" s="54"/>
      <c r="AX361" s="54" t="str">
        <f t="shared" si="155"/>
        <v>ملتزم</v>
      </c>
      <c r="AY361" s="54" t="s">
        <v>69</v>
      </c>
      <c r="AZ361" s="43" t="s">
        <v>107</v>
      </c>
      <c r="BA361" s="55"/>
      <c r="BB361" s="55"/>
      <c r="BC361" s="55"/>
      <c r="BD361" s="54"/>
      <c r="BE361" s="68">
        <v>59570</v>
      </c>
      <c r="BF361" s="54"/>
      <c r="BG361" s="54"/>
      <c r="BH361" s="54"/>
      <c r="BI361" s="54" t="s">
        <v>76</v>
      </c>
      <c r="BJ361" s="54">
        <f>(U361+V361+AE361)-BD361-BE361</f>
        <v>44030</v>
      </c>
      <c r="BK361" s="54" t="s">
        <v>113</v>
      </c>
    </row>
    <row r="362" spans="1:63" ht="34.5" hidden="1" customHeight="1" x14ac:dyDescent="0.25">
      <c r="A362" s="35">
        <f t="shared" si="177"/>
        <v>209</v>
      </c>
      <c r="B362" s="35" t="s">
        <v>746</v>
      </c>
      <c r="C362" s="105">
        <v>20786214510</v>
      </c>
      <c r="D362" s="37" t="s">
        <v>106</v>
      </c>
      <c r="E362" s="81" t="b">
        <v>0</v>
      </c>
      <c r="F362" s="81"/>
      <c r="G362" s="65">
        <v>46022</v>
      </c>
      <c r="H362" s="35">
        <v>1</v>
      </c>
      <c r="I362" s="35">
        <v>331</v>
      </c>
      <c r="J362" s="95" t="s">
        <v>282</v>
      </c>
      <c r="K362" s="81">
        <v>7006650837</v>
      </c>
      <c r="L362" s="81">
        <v>544112281</v>
      </c>
      <c r="M362" s="81">
        <v>1026810190</v>
      </c>
      <c r="N362" s="35" t="s">
        <v>73</v>
      </c>
      <c r="O362" s="35" t="s">
        <v>97</v>
      </c>
      <c r="P362" s="35">
        <v>5</v>
      </c>
      <c r="Q362" s="35">
        <v>4</v>
      </c>
      <c r="R362" s="35">
        <f t="shared" si="184"/>
        <v>20</v>
      </c>
      <c r="S362" s="44">
        <v>30000</v>
      </c>
      <c r="T362" s="44">
        <f t="shared" si="185"/>
        <v>3000</v>
      </c>
      <c r="U362" s="63">
        <f>S362+T362</f>
        <v>33000</v>
      </c>
      <c r="V362" s="106"/>
      <c r="W362" s="213"/>
      <c r="X362" s="172">
        <v>15525</v>
      </c>
      <c r="Y362" s="48">
        <f t="shared" si="153"/>
        <v>13500.000000000002</v>
      </c>
      <c r="Z362" s="173">
        <v>0</v>
      </c>
      <c r="AA362" s="173">
        <f t="shared" si="183"/>
        <v>0</v>
      </c>
      <c r="AB362" s="173"/>
      <c r="AC362" s="52">
        <v>18975</v>
      </c>
      <c r="AD362" s="52">
        <f>S362*1.15-AC362</f>
        <v>15525</v>
      </c>
      <c r="AE362" s="53">
        <f>S362*1.15+X362-AB362-AC362</f>
        <v>31050</v>
      </c>
      <c r="AF362" s="52" t="b">
        <v>0</v>
      </c>
      <c r="AG362" s="52"/>
      <c r="AH362" s="52"/>
      <c r="AI362" s="52"/>
      <c r="AJ362" s="52"/>
      <c r="AK362" s="52"/>
      <c r="AL362" s="52"/>
      <c r="AM362" s="52" t="b">
        <v>0</v>
      </c>
      <c r="AN362" s="52"/>
      <c r="AO362" s="52"/>
      <c r="AP362" s="52"/>
      <c r="AQ362" s="52"/>
      <c r="AR362" s="52"/>
      <c r="AS362" s="52" t="b">
        <v>0</v>
      </c>
      <c r="AT362" s="52"/>
      <c r="AU362" s="52"/>
      <c r="AV362" s="52"/>
      <c r="AW362" s="52"/>
      <c r="AX362" s="52" t="str">
        <f t="shared" si="155"/>
        <v>غير ملتزم</v>
      </c>
      <c r="AY362" s="54" t="s">
        <v>541</v>
      </c>
      <c r="AZ362" s="43" t="s">
        <v>107</v>
      </c>
      <c r="BA362" s="55"/>
      <c r="BB362" s="55"/>
      <c r="BC362" s="55"/>
      <c r="BD362" s="54"/>
      <c r="BE362" s="68">
        <v>0</v>
      </c>
      <c r="BF362" s="54"/>
      <c r="BG362" s="54"/>
      <c r="BH362" s="54"/>
      <c r="BI362" s="54" t="s">
        <v>76</v>
      </c>
      <c r="BJ362" s="54">
        <f>(U362+V362+AE362)-BD362-BE362</f>
        <v>64050</v>
      </c>
      <c r="BK362" s="54"/>
    </row>
    <row r="363" spans="1:63" ht="34.5" hidden="1" customHeight="1" x14ac:dyDescent="0.25">
      <c r="A363" s="174"/>
      <c r="B363" s="174"/>
      <c r="C363" s="175"/>
      <c r="D363" s="174"/>
      <c r="E363" s="174"/>
      <c r="F363" s="174"/>
      <c r="G363" s="174"/>
      <c r="H363" s="176">
        <f>SUM(H4:H362)</f>
        <v>534</v>
      </c>
      <c r="I363" s="177"/>
      <c r="J363" s="178"/>
      <c r="K363" s="178"/>
      <c r="L363" s="178"/>
      <c r="M363" s="178"/>
      <c r="N363" s="177"/>
      <c r="O363" s="177"/>
      <c r="P363" s="179"/>
      <c r="Q363" s="179"/>
      <c r="R363" s="125">
        <f t="shared" si="184"/>
        <v>0</v>
      </c>
      <c r="S363" s="180">
        <f>SUM(S4:S362)</f>
        <v>16269218.75</v>
      </c>
      <c r="T363" s="179"/>
      <c r="U363" s="180">
        <f>SUM(U4:U362)</f>
        <v>17322125</v>
      </c>
      <c r="V363" s="180">
        <f>SUM(V4:V362)</f>
        <v>3254309</v>
      </c>
      <c r="W363" s="180"/>
      <c r="X363" s="181">
        <f>SUM(X4:X362)</f>
        <v>2602568.65</v>
      </c>
      <c r="Y363" s="181">
        <f t="shared" si="153"/>
        <v>2263103.1739130435</v>
      </c>
      <c r="Z363" s="181">
        <f t="shared" ref="Z363:AD363" si="186">SUM(Z4:Z362)</f>
        <v>63000</v>
      </c>
      <c r="AA363" s="181">
        <f t="shared" si="186"/>
        <v>53550</v>
      </c>
      <c r="AB363" s="181">
        <f t="shared" si="186"/>
        <v>715182</v>
      </c>
      <c r="AC363" s="182">
        <f t="shared" si="186"/>
        <v>16312043.17</v>
      </c>
      <c r="AD363" s="182">
        <f t="shared" si="186"/>
        <v>2152146.08</v>
      </c>
      <c r="AE363" s="183">
        <f>SUM(AE4:AE362)</f>
        <v>4168753.4800000004</v>
      </c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84"/>
      <c r="BA363" s="185"/>
      <c r="BB363" s="185"/>
      <c r="BC363" s="185"/>
      <c r="BD363" s="185"/>
      <c r="BE363" s="185"/>
      <c r="BF363" s="185"/>
      <c r="BG363" s="185"/>
      <c r="BH363" s="185"/>
      <c r="BI363" s="185"/>
      <c r="BJ363" s="185"/>
      <c r="BK363" s="185"/>
    </row>
    <row r="364" spans="1:63" ht="28.5" hidden="1" customHeight="1" x14ac:dyDescent="0.25">
      <c r="A364" s="7"/>
      <c r="B364" s="186"/>
      <c r="C364" s="186"/>
      <c r="D364" s="186"/>
      <c r="E364" s="186"/>
      <c r="F364" s="186"/>
      <c r="G364" s="7"/>
      <c r="H364" s="7"/>
      <c r="I364" s="187"/>
      <c r="J364" s="187"/>
      <c r="K364" s="187"/>
      <c r="L364" s="187"/>
      <c r="M364" s="187"/>
      <c r="N364" s="187"/>
      <c r="O364" s="187"/>
      <c r="P364" s="7"/>
      <c r="Q364" s="7"/>
      <c r="R364" s="7"/>
      <c r="S364" s="188"/>
      <c r="T364" s="187"/>
      <c r="U364" s="187"/>
      <c r="V364" s="189"/>
      <c r="W364" s="189"/>
      <c r="X364" s="187"/>
      <c r="Y364" s="187"/>
      <c r="Z364" s="188"/>
      <c r="AA364" s="188"/>
      <c r="AB364" s="188"/>
      <c r="AC364" s="190"/>
      <c r="AD364" s="190"/>
      <c r="AE364" s="190"/>
      <c r="AF364" s="190"/>
      <c r="AG364" s="190"/>
      <c r="AH364" s="190"/>
      <c r="AI364" s="190"/>
      <c r="AJ364" s="190"/>
      <c r="AK364" s="190"/>
      <c r="AL364" s="190"/>
      <c r="AM364" s="190"/>
      <c r="AN364" s="190"/>
      <c r="AO364" s="190"/>
      <c r="AP364" s="190"/>
      <c r="AQ364" s="190"/>
      <c r="AR364" s="190"/>
      <c r="AS364" s="190"/>
      <c r="AT364" s="190"/>
      <c r="AU364" s="190"/>
      <c r="AV364" s="190"/>
      <c r="AW364" s="190"/>
      <c r="AX364" s="190"/>
      <c r="AY364" s="190"/>
      <c r="AZ364" s="190"/>
      <c r="BA364" s="191"/>
      <c r="BB364" s="191"/>
      <c r="BC364" s="191"/>
      <c r="BD364" s="191"/>
      <c r="BE364" s="191"/>
      <c r="BF364" s="191"/>
      <c r="BG364" s="191"/>
      <c r="BH364" s="191"/>
      <c r="BI364" s="191"/>
      <c r="BJ364" s="191"/>
      <c r="BK364" s="191"/>
    </row>
    <row r="365" spans="1:63" ht="28.5" customHeight="1" x14ac:dyDescent="0.25">
      <c r="A365" s="9"/>
      <c r="B365" s="192" t="s">
        <v>747</v>
      </c>
      <c r="C365" s="192" t="s">
        <v>748</v>
      </c>
      <c r="D365" s="192" t="s">
        <v>749</v>
      </c>
      <c r="E365" s="193"/>
      <c r="F365" s="193"/>
      <c r="G365" s="9"/>
      <c r="H365" s="9"/>
      <c r="I365" s="8" t="s">
        <v>0</v>
      </c>
      <c r="J365" s="8"/>
      <c r="K365" s="8"/>
      <c r="L365" s="8"/>
      <c r="M365" s="8"/>
      <c r="N365" s="8"/>
      <c r="O365" s="8"/>
      <c r="P365" s="9"/>
      <c r="Q365" s="9"/>
      <c r="R365" s="9"/>
      <c r="S365" s="194"/>
      <c r="T365" s="8"/>
      <c r="U365" s="8"/>
      <c r="V365" s="195"/>
      <c r="W365" s="195"/>
      <c r="X365" s="8"/>
      <c r="Y365" s="8"/>
      <c r="Z365" s="194"/>
      <c r="AA365" s="194"/>
      <c r="AB365" s="194"/>
      <c r="AC365" s="11"/>
      <c r="AD365" s="11"/>
      <c r="AE365" s="11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3"/>
      <c r="AY365" s="13"/>
      <c r="AZ365" s="11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</row>
    <row r="366" spans="1:63" ht="27" customHeight="1" x14ac:dyDescent="0.25">
      <c r="A366" s="9"/>
      <c r="B366" s="135" t="s">
        <v>750</v>
      </c>
      <c r="C366" s="135" t="s">
        <v>751</v>
      </c>
      <c r="D366" s="135" t="s">
        <v>752</v>
      </c>
      <c r="E366" s="9"/>
      <c r="F366" s="9"/>
      <c r="G366" s="9"/>
      <c r="H366" s="9"/>
      <c r="I366" s="8"/>
      <c r="J366" s="8"/>
      <c r="K366" s="8"/>
      <c r="L366" s="8"/>
      <c r="M366" s="8"/>
      <c r="N366" s="8"/>
      <c r="O366" s="8"/>
      <c r="P366" s="196" t="s">
        <v>66</v>
      </c>
      <c r="Q366" s="196" t="s">
        <v>80</v>
      </c>
      <c r="R366" s="196" t="s">
        <v>753</v>
      </c>
      <c r="S366" s="8"/>
      <c r="T366" s="8"/>
      <c r="U366" s="8"/>
      <c r="V366" s="8"/>
      <c r="W366" s="8"/>
      <c r="X366" s="8"/>
      <c r="Y366" s="8"/>
      <c r="Z366" s="194"/>
      <c r="AA366" s="194"/>
      <c r="AB366" s="194"/>
      <c r="AC366" s="11"/>
      <c r="AD366" s="11"/>
      <c r="AE366" s="11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3"/>
      <c r="AY366" s="13"/>
      <c r="AZ366" s="13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</row>
    <row r="367" spans="1:63" ht="29.25" customHeight="1" x14ac:dyDescent="0.25">
      <c r="A367" s="9"/>
      <c r="B367" s="135" t="s">
        <v>107</v>
      </c>
      <c r="C367" s="135" t="s">
        <v>754</v>
      </c>
      <c r="D367" s="197"/>
      <c r="E367" s="198"/>
      <c r="F367" s="198"/>
      <c r="G367" s="9"/>
      <c r="H367" s="9"/>
      <c r="I367" s="8"/>
      <c r="J367" s="8"/>
      <c r="K367" s="8"/>
      <c r="L367" s="8"/>
      <c r="M367" s="8"/>
      <c r="N367" s="8"/>
      <c r="O367" s="8"/>
      <c r="P367" s="70">
        <v>22000</v>
      </c>
      <c r="Q367" s="70">
        <v>25000</v>
      </c>
      <c r="R367" s="135">
        <v>27</v>
      </c>
      <c r="S367" s="8"/>
      <c r="T367" s="8"/>
      <c r="U367" s="8"/>
      <c r="V367" s="8"/>
      <c r="W367" s="8"/>
      <c r="X367" s="8"/>
      <c r="Y367" s="8"/>
      <c r="Z367" s="194"/>
      <c r="AA367" s="194"/>
      <c r="AB367" s="194"/>
      <c r="AC367" s="11"/>
      <c r="AD367" s="11"/>
      <c r="AE367" s="11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3"/>
      <c r="AY367" s="13"/>
      <c r="AZ367" s="13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</row>
    <row r="368" spans="1:63" ht="29.25" customHeight="1" x14ac:dyDescent="0.25">
      <c r="A368" s="9"/>
      <c r="B368" s="135" t="s">
        <v>70</v>
      </c>
      <c r="C368" s="135" t="s">
        <v>751</v>
      </c>
      <c r="D368" s="135" t="s">
        <v>755</v>
      </c>
      <c r="E368" s="9"/>
      <c r="F368" s="9"/>
      <c r="G368" s="9"/>
      <c r="H368" s="9"/>
      <c r="I368" s="8"/>
      <c r="J368" s="8"/>
      <c r="K368" s="8"/>
      <c r="L368" s="8"/>
      <c r="M368" s="8"/>
      <c r="N368" s="8"/>
      <c r="O368" s="8"/>
      <c r="P368" s="70">
        <v>28000</v>
      </c>
      <c r="Q368" s="70">
        <v>33000</v>
      </c>
      <c r="R368" s="135">
        <v>52</v>
      </c>
      <c r="S368" s="8"/>
      <c r="T368" s="8"/>
      <c r="U368" s="8"/>
      <c r="V368" s="8"/>
      <c r="W368" s="8"/>
      <c r="X368" s="8"/>
      <c r="Y368" s="8"/>
      <c r="Z368" s="194"/>
      <c r="AA368" s="194"/>
      <c r="AB368" s="194"/>
      <c r="AC368" s="11"/>
      <c r="AD368" s="11"/>
      <c r="AE368" s="11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3"/>
      <c r="AY368" s="13"/>
      <c r="AZ368" s="13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</row>
    <row r="369" spans="1:63" ht="29.25" customHeight="1" x14ac:dyDescent="0.25">
      <c r="A369" s="9"/>
      <c r="B369" s="135" t="s">
        <v>78</v>
      </c>
      <c r="C369" s="135" t="s">
        <v>754</v>
      </c>
      <c r="D369" s="135" t="s">
        <v>756</v>
      </c>
      <c r="E369" s="9"/>
      <c r="F369" s="9"/>
      <c r="G369" s="9"/>
      <c r="H369" s="9"/>
      <c r="I369" s="8"/>
      <c r="J369" s="8"/>
      <c r="K369" s="8"/>
      <c r="L369" s="8"/>
      <c r="M369" s="8"/>
      <c r="N369" s="8"/>
      <c r="O369" s="8"/>
      <c r="P369" s="70">
        <v>38000</v>
      </c>
      <c r="Q369" s="70">
        <f t="shared" ref="Q369:Q374" si="187">1.2*P369</f>
        <v>45600</v>
      </c>
      <c r="R369" s="135">
        <v>82</v>
      </c>
      <c r="S369" s="8"/>
      <c r="T369" s="8"/>
      <c r="U369" s="199"/>
      <c r="V369" s="8"/>
      <c r="W369" s="8"/>
      <c r="X369" s="8"/>
      <c r="Y369" s="8"/>
      <c r="Z369" s="194"/>
      <c r="AA369" s="194"/>
      <c r="AB369" s="194"/>
      <c r="AC369" s="11"/>
      <c r="AD369" s="11"/>
      <c r="AE369" s="11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3"/>
      <c r="AY369" s="13"/>
      <c r="AZ369" s="13"/>
      <c r="BA369" s="15"/>
      <c r="BB369" s="15"/>
      <c r="BC369" s="15"/>
      <c r="BD369" s="15"/>
      <c r="BE369" s="15" t="s">
        <v>0</v>
      </c>
      <c r="BF369" s="15"/>
      <c r="BG369" s="15"/>
      <c r="BH369" s="15"/>
      <c r="BI369" s="15"/>
      <c r="BJ369" s="15"/>
      <c r="BK369" s="15"/>
    </row>
    <row r="370" spans="1:63" ht="29.25" customHeight="1" x14ac:dyDescent="0.25">
      <c r="A370" s="9"/>
      <c r="B370" s="135" t="s">
        <v>103</v>
      </c>
      <c r="C370" s="135" t="s">
        <v>754</v>
      </c>
      <c r="D370" s="135" t="s">
        <v>757</v>
      </c>
      <c r="E370" s="9"/>
      <c r="F370" s="9"/>
      <c r="G370" s="9"/>
      <c r="H370" s="9"/>
      <c r="I370" s="8"/>
      <c r="J370" s="8"/>
      <c r="K370" s="8"/>
      <c r="L370" s="8"/>
      <c r="M370" s="8"/>
      <c r="N370" s="8"/>
      <c r="O370" s="8"/>
      <c r="P370" s="70">
        <f>28000*2</f>
        <v>56000</v>
      </c>
      <c r="Q370" s="70">
        <f t="shared" si="187"/>
        <v>67200</v>
      </c>
      <c r="R370" s="135">
        <v>100</v>
      </c>
      <c r="S370" s="8"/>
      <c r="T370" s="8"/>
      <c r="U370" s="200"/>
      <c r="V370" s="8"/>
      <c r="W370" s="8"/>
      <c r="X370" s="8"/>
      <c r="Y370" s="8"/>
      <c r="Z370" s="194"/>
      <c r="AA370" s="194"/>
      <c r="AB370" s="194"/>
      <c r="AC370" s="11"/>
      <c r="AD370" s="11"/>
      <c r="AE370" s="11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3"/>
      <c r="AY370" s="13"/>
      <c r="AZ370" s="13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</row>
    <row r="371" spans="1:63" ht="29.25" customHeight="1" x14ac:dyDescent="0.25">
      <c r="A371" s="9"/>
      <c r="B371" s="135" t="s">
        <v>81</v>
      </c>
      <c r="C371" s="135" t="s">
        <v>754</v>
      </c>
      <c r="D371" s="135" t="s">
        <v>758</v>
      </c>
      <c r="E371" s="9"/>
      <c r="F371" s="9"/>
      <c r="G371" s="9"/>
      <c r="H371" s="9"/>
      <c r="I371" s="8"/>
      <c r="J371" s="8"/>
      <c r="K371" s="8"/>
      <c r="L371" s="8"/>
      <c r="M371" s="8"/>
      <c r="N371" s="8"/>
      <c r="O371" s="8"/>
      <c r="P371" s="70">
        <f>3*P368</f>
        <v>84000</v>
      </c>
      <c r="Q371" s="70">
        <f t="shared" si="187"/>
        <v>100800</v>
      </c>
      <c r="R371" s="135">
        <v>140</v>
      </c>
      <c r="S371" s="8"/>
      <c r="T371" s="8"/>
      <c r="U371" s="115"/>
      <c r="V371" s="8"/>
      <c r="W371" s="8"/>
      <c r="X371" s="8"/>
      <c r="Y371" s="8"/>
      <c r="Z371" s="194"/>
      <c r="AA371" s="194"/>
      <c r="AB371" s="194"/>
      <c r="AC371" s="11"/>
      <c r="AD371" s="11"/>
      <c r="AE371" s="11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3"/>
      <c r="AY371" s="13"/>
      <c r="AZ371" s="13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</row>
    <row r="372" spans="1:63" ht="29.25" customHeight="1" x14ac:dyDescent="0.25">
      <c r="A372" s="9"/>
      <c r="B372" s="135" t="s">
        <v>86</v>
      </c>
      <c r="C372" s="135" t="s">
        <v>754</v>
      </c>
      <c r="D372" s="135" t="s">
        <v>759</v>
      </c>
      <c r="E372" s="9"/>
      <c r="F372" s="9"/>
      <c r="G372" s="9"/>
      <c r="H372" s="9"/>
      <c r="I372" s="8"/>
      <c r="J372" s="8"/>
      <c r="K372" s="8"/>
      <c r="L372" s="8"/>
      <c r="M372" s="8"/>
      <c r="N372" s="8"/>
      <c r="O372" s="8"/>
      <c r="P372" s="70">
        <v>100000</v>
      </c>
      <c r="Q372" s="70">
        <f t="shared" si="187"/>
        <v>120000</v>
      </c>
      <c r="R372" s="135">
        <v>152</v>
      </c>
      <c r="S372" s="8"/>
      <c r="T372" s="8"/>
      <c r="U372" s="115"/>
      <c r="V372" s="8"/>
      <c r="W372" s="8"/>
      <c r="X372" s="8"/>
      <c r="Y372" s="8"/>
      <c r="Z372" s="194"/>
      <c r="AA372" s="194"/>
      <c r="AB372" s="194"/>
      <c r="AC372" s="11"/>
      <c r="AD372" s="11"/>
      <c r="AE372" s="11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3"/>
      <c r="AY372" s="13"/>
      <c r="AZ372" s="13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</row>
    <row r="373" spans="1:63" ht="29.25" customHeight="1" x14ac:dyDescent="0.25">
      <c r="A373" s="9"/>
      <c r="B373" s="201"/>
      <c r="C373" s="201"/>
      <c r="D373" s="201"/>
      <c r="E373" s="201"/>
      <c r="F373" s="201"/>
      <c r="G373" s="9"/>
      <c r="H373" s="9"/>
      <c r="I373" s="8"/>
      <c r="J373" s="8"/>
      <c r="K373" s="8"/>
      <c r="L373" s="8"/>
      <c r="M373" s="8"/>
      <c r="N373" s="8"/>
      <c r="O373" s="8"/>
      <c r="P373" s="70">
        <v>95000</v>
      </c>
      <c r="Q373" s="70">
        <f t="shared" si="187"/>
        <v>114000</v>
      </c>
      <c r="R373" s="135">
        <v>170</v>
      </c>
      <c r="S373" s="8"/>
      <c r="T373" s="8"/>
      <c r="U373" s="115"/>
      <c r="V373" s="8"/>
      <c r="W373" s="8"/>
      <c r="X373" s="8"/>
      <c r="Y373" s="8"/>
      <c r="Z373" s="194"/>
      <c r="AA373" s="194"/>
      <c r="AB373" s="194"/>
      <c r="AC373" s="11"/>
      <c r="AD373" s="11"/>
      <c r="AE373" s="11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3"/>
      <c r="AY373" s="13"/>
      <c r="AZ373" s="13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</row>
    <row r="374" spans="1:63" ht="29.25" customHeight="1" x14ac:dyDescent="0.25">
      <c r="A374" s="9"/>
      <c r="B374" s="201"/>
      <c r="C374" s="201"/>
      <c r="D374" s="201"/>
      <c r="E374" s="201"/>
      <c r="F374" s="201"/>
      <c r="G374" s="9"/>
      <c r="H374" s="9"/>
      <c r="I374" s="8"/>
      <c r="J374" s="8"/>
      <c r="K374" s="8"/>
      <c r="L374" s="8"/>
      <c r="M374" s="8"/>
      <c r="N374" s="8"/>
      <c r="O374" s="8"/>
      <c r="P374" s="70">
        <v>115000</v>
      </c>
      <c r="Q374" s="70">
        <f t="shared" si="187"/>
        <v>138000</v>
      </c>
      <c r="R374" s="135">
        <v>277</v>
      </c>
      <c r="S374" s="8"/>
      <c r="T374" s="8"/>
      <c r="U374" s="115"/>
      <c r="V374" s="8"/>
      <c r="W374" s="8"/>
      <c r="X374" s="8"/>
      <c r="Y374" s="8"/>
      <c r="Z374" s="194"/>
      <c r="AA374" s="194"/>
      <c r="AB374" s="194"/>
      <c r="AC374" s="11"/>
      <c r="AD374" s="11"/>
      <c r="AE374" s="11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3"/>
      <c r="AY374" s="13"/>
      <c r="AZ374" s="13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</row>
    <row r="375" spans="1:63" ht="14.25" customHeight="1" x14ac:dyDescent="0.25">
      <c r="A375" s="9"/>
      <c r="B375" s="2"/>
      <c r="C375" s="2"/>
      <c r="D375" s="9"/>
      <c r="E375" s="9"/>
      <c r="F375" s="9"/>
      <c r="G375" s="9"/>
      <c r="H375" s="9"/>
      <c r="I375" s="8"/>
      <c r="J375" s="8"/>
      <c r="K375" s="8"/>
      <c r="L375" s="8"/>
      <c r="M375" s="8"/>
      <c r="N375" s="8"/>
      <c r="O375" s="8"/>
      <c r="P375" s="9"/>
      <c r="Q375" s="9"/>
      <c r="R375" s="9"/>
      <c r="S375" s="8"/>
      <c r="T375" s="8"/>
      <c r="U375" s="115"/>
      <c r="V375" s="8"/>
      <c r="W375" s="8"/>
      <c r="X375" s="8"/>
      <c r="Y375" s="8"/>
      <c r="Z375" s="194"/>
      <c r="AA375" s="194"/>
      <c r="AB375" s="194"/>
      <c r="AC375" s="11"/>
      <c r="AD375" s="11"/>
      <c r="AE375" s="11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3"/>
      <c r="AY375" s="13"/>
      <c r="AZ375" s="13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</row>
    <row r="376" spans="1:63" ht="14.25" customHeight="1" x14ac:dyDescent="0.25">
      <c r="A376" s="9"/>
      <c r="B376" s="2"/>
      <c r="C376" s="2"/>
      <c r="D376" s="9"/>
      <c r="E376" s="9"/>
      <c r="F376" s="9"/>
      <c r="G376" s="9"/>
      <c r="H376" s="9"/>
      <c r="I376" s="8"/>
      <c r="J376" s="8"/>
      <c r="K376" s="8"/>
      <c r="L376" s="8"/>
      <c r="M376" s="8"/>
      <c r="N376" s="8"/>
      <c r="O376" s="8"/>
      <c r="P376" s="9"/>
      <c r="Q376" s="9"/>
      <c r="R376" s="9"/>
      <c r="S376" s="8"/>
      <c r="T376" s="8"/>
      <c r="U376" s="8"/>
      <c r="V376" s="8"/>
      <c r="W376" s="8"/>
      <c r="X376" s="8"/>
      <c r="Y376" s="8"/>
      <c r="Z376" s="194"/>
      <c r="AA376" s="194"/>
      <c r="AB376" s="194"/>
      <c r="AC376" s="11"/>
      <c r="AD376" s="11"/>
      <c r="AE376" s="11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3"/>
      <c r="AY376" s="13"/>
      <c r="AZ376" s="13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</row>
    <row r="377" spans="1:63" ht="14.25" customHeight="1" x14ac:dyDescent="0.25">
      <c r="A377" s="9"/>
      <c r="B377" s="2"/>
      <c r="C377" s="2"/>
      <c r="D377" s="9"/>
      <c r="E377" s="9"/>
      <c r="F377" s="9"/>
      <c r="G377" s="9"/>
      <c r="H377" s="9"/>
      <c r="I377" s="8"/>
      <c r="J377" s="8"/>
      <c r="K377" s="8"/>
      <c r="L377" s="8"/>
      <c r="M377" s="8"/>
      <c r="N377" s="8"/>
      <c r="O377" s="8"/>
      <c r="P377" s="9"/>
      <c r="Q377" s="9"/>
      <c r="R377" s="9"/>
      <c r="S377" s="8"/>
      <c r="T377" s="8"/>
      <c r="U377" s="8"/>
      <c r="V377" s="8"/>
      <c r="W377" s="8"/>
      <c r="X377" s="8"/>
      <c r="Y377" s="8"/>
      <c r="Z377" s="194"/>
      <c r="AA377" s="194"/>
      <c r="AB377" s="194"/>
      <c r="AC377" s="11"/>
      <c r="AD377" s="11"/>
      <c r="AE377" s="11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3"/>
      <c r="AY377" s="13"/>
      <c r="AZ377" s="13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</row>
    <row r="378" spans="1:63" ht="14.25" customHeight="1" x14ac:dyDescent="0.25">
      <c r="A378" s="9"/>
      <c r="B378" s="2"/>
      <c r="C378" s="2"/>
      <c r="D378" s="9"/>
      <c r="E378" s="9"/>
      <c r="F378" s="9"/>
      <c r="G378" s="9"/>
      <c r="H378" s="9"/>
      <c r="I378" s="8"/>
      <c r="J378" s="8"/>
      <c r="K378" s="8"/>
      <c r="L378" s="8"/>
      <c r="M378" s="8"/>
      <c r="N378" s="8"/>
      <c r="O378" s="8"/>
      <c r="P378" s="9"/>
      <c r="Q378" s="9"/>
      <c r="R378" s="9"/>
      <c r="S378" s="8"/>
      <c r="T378" s="8"/>
      <c r="U378" s="8"/>
      <c r="V378" s="8"/>
      <c r="W378" s="8"/>
      <c r="X378" s="8"/>
      <c r="Y378" s="8"/>
      <c r="Z378" s="194"/>
      <c r="AA378" s="194"/>
      <c r="AB378" s="194"/>
      <c r="AC378" s="11"/>
      <c r="AD378" s="11"/>
      <c r="AE378" s="11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3"/>
      <c r="AY378" s="13"/>
      <c r="AZ378" s="13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</row>
    <row r="379" spans="1:63" ht="14.25" customHeight="1" x14ac:dyDescent="0.25">
      <c r="A379" s="9"/>
      <c r="B379" s="2"/>
      <c r="C379" s="2"/>
      <c r="D379" s="9"/>
      <c r="E379" s="9"/>
      <c r="F379" s="9"/>
      <c r="G379" s="9"/>
      <c r="H379" s="9"/>
      <c r="I379" s="8"/>
      <c r="J379" s="8"/>
      <c r="K379" s="8"/>
      <c r="L379" s="8"/>
      <c r="M379" s="8"/>
      <c r="N379" s="8"/>
      <c r="O379" s="8"/>
      <c r="P379" s="9"/>
      <c r="Q379" s="9"/>
      <c r="R379" s="9"/>
      <c r="S379" s="8"/>
      <c r="T379" s="8"/>
      <c r="U379" s="8"/>
      <c r="V379" s="8"/>
      <c r="W379" s="8"/>
      <c r="X379" s="8"/>
      <c r="Y379" s="8"/>
      <c r="Z379" s="194"/>
      <c r="AA379" s="194"/>
      <c r="AB379" s="194"/>
      <c r="AC379" s="11"/>
      <c r="AD379" s="11"/>
      <c r="AE379" s="11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3"/>
      <c r="AY379" s="13"/>
      <c r="AZ379" s="13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</row>
    <row r="380" spans="1:63" ht="14.25" customHeight="1" x14ac:dyDescent="0.25">
      <c r="A380" s="9"/>
      <c r="B380" s="2"/>
      <c r="C380" s="2"/>
      <c r="D380" s="9"/>
      <c r="E380" s="9"/>
      <c r="F380" s="9"/>
      <c r="G380" s="9"/>
      <c r="H380" s="9"/>
      <c r="I380" s="8"/>
      <c r="J380" s="8"/>
      <c r="K380" s="8"/>
      <c r="L380" s="8"/>
      <c r="M380" s="8"/>
      <c r="N380" s="8"/>
      <c r="O380" s="8"/>
      <c r="P380" s="9"/>
      <c r="Q380" s="9"/>
      <c r="R380" s="9"/>
      <c r="S380" s="8"/>
      <c r="T380" s="8"/>
      <c r="U380" s="8"/>
      <c r="V380" s="8"/>
      <c r="W380" s="8"/>
      <c r="X380" s="8"/>
      <c r="Y380" s="8"/>
      <c r="Z380" s="194"/>
      <c r="AA380" s="194"/>
      <c r="AB380" s="194"/>
      <c r="AC380" s="11"/>
      <c r="AD380" s="11"/>
      <c r="AE380" s="11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3"/>
      <c r="AY380" s="13"/>
      <c r="AZ380" s="13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</row>
    <row r="381" spans="1:63" ht="14.25" customHeight="1" x14ac:dyDescent="0.25">
      <c r="A381" s="9"/>
      <c r="B381" s="2"/>
      <c r="C381" s="2"/>
      <c r="D381" s="9"/>
      <c r="E381" s="9"/>
      <c r="F381" s="9"/>
      <c r="G381" s="9"/>
      <c r="H381" s="9"/>
      <c r="I381" s="8"/>
      <c r="J381" s="8"/>
      <c r="K381" s="8"/>
      <c r="L381" s="8"/>
      <c r="M381" s="8"/>
      <c r="N381" s="8"/>
      <c r="O381" s="8"/>
      <c r="P381" s="9"/>
      <c r="Q381" s="9"/>
      <c r="R381" s="9"/>
      <c r="S381" s="8"/>
      <c r="T381" s="8"/>
      <c r="U381" s="8"/>
      <c r="V381" s="8"/>
      <c r="W381" s="8"/>
      <c r="X381" s="8"/>
      <c r="Y381" s="8"/>
      <c r="Z381" s="194"/>
      <c r="AA381" s="194"/>
      <c r="AB381" s="194"/>
      <c r="AC381" s="11"/>
      <c r="AD381" s="11"/>
      <c r="AE381" s="11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3"/>
      <c r="AY381" s="13"/>
      <c r="AZ381" s="13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</row>
    <row r="382" spans="1:63" ht="14.25" customHeight="1" x14ac:dyDescent="0.25">
      <c r="A382" s="9"/>
      <c r="B382" s="2"/>
      <c r="C382" s="2"/>
      <c r="D382" s="9"/>
      <c r="E382" s="9"/>
      <c r="F382" s="9"/>
      <c r="G382" s="9"/>
      <c r="H382" s="9"/>
      <c r="I382" s="8"/>
      <c r="J382" s="8"/>
      <c r="K382" s="8"/>
      <c r="L382" s="8"/>
      <c r="M382" s="8"/>
      <c r="N382" s="8"/>
      <c r="O382" s="8"/>
      <c r="P382" s="9"/>
      <c r="Q382" s="9"/>
      <c r="R382" s="9"/>
      <c r="S382" s="8"/>
      <c r="T382" s="8"/>
      <c r="U382" s="8"/>
      <c r="V382" s="8"/>
      <c r="W382" s="8"/>
      <c r="X382" s="8"/>
      <c r="Y382" s="8"/>
      <c r="Z382" s="194"/>
      <c r="AA382" s="194"/>
      <c r="AB382" s="194"/>
      <c r="AC382" s="11"/>
      <c r="AD382" s="11"/>
      <c r="AE382" s="11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3"/>
      <c r="AY382" s="13"/>
      <c r="AZ382" s="13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</row>
    <row r="383" spans="1:63" ht="14.25" customHeight="1" x14ac:dyDescent="0.25">
      <c r="A383" s="9"/>
      <c r="B383" s="2"/>
      <c r="C383" s="2"/>
      <c r="D383" s="9"/>
      <c r="E383" s="9"/>
      <c r="F383" s="9"/>
      <c r="G383" s="9"/>
      <c r="H383" s="9"/>
      <c r="I383" s="8"/>
      <c r="J383" s="8"/>
      <c r="K383" s="8"/>
      <c r="L383" s="8"/>
      <c r="M383" s="8"/>
      <c r="N383" s="8"/>
      <c r="O383" s="8"/>
      <c r="P383" s="9"/>
      <c r="Q383" s="9"/>
      <c r="R383" s="9"/>
      <c r="S383" s="8"/>
      <c r="T383" s="8"/>
      <c r="U383" s="8"/>
      <c r="V383" s="8"/>
      <c r="W383" s="8"/>
      <c r="X383" s="8"/>
      <c r="Y383" s="8"/>
      <c r="Z383" s="194"/>
      <c r="AA383" s="194"/>
      <c r="AB383" s="194"/>
      <c r="AC383" s="11"/>
      <c r="AD383" s="11"/>
      <c r="AE383" s="11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3"/>
      <c r="AY383" s="13"/>
      <c r="AZ383" s="13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</row>
    <row r="384" spans="1:63" ht="14.25" customHeight="1" x14ac:dyDescent="0.25">
      <c r="A384" s="9"/>
      <c r="B384" s="2"/>
      <c r="C384" s="2"/>
      <c r="D384" s="9"/>
      <c r="E384" s="9"/>
      <c r="F384" s="9"/>
      <c r="G384" s="9"/>
      <c r="H384" s="9"/>
      <c r="I384" s="8"/>
      <c r="J384" s="8"/>
      <c r="K384" s="8"/>
      <c r="L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194"/>
      <c r="AA384" s="194"/>
      <c r="AB384" s="194"/>
      <c r="AC384" s="11"/>
      <c r="AD384" s="11"/>
      <c r="AE384" s="11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3"/>
      <c r="AY384" s="13"/>
      <c r="AZ384" s="13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</row>
    <row r="385" spans="1:63" ht="14.25" customHeight="1" x14ac:dyDescent="0.25">
      <c r="A385" s="9"/>
      <c r="B385" s="2"/>
      <c r="C385" s="2"/>
      <c r="D385" s="9"/>
      <c r="E385" s="9"/>
      <c r="F385" s="9"/>
      <c r="G385" s="9"/>
      <c r="H385" s="9"/>
      <c r="I385" s="8"/>
      <c r="J385" s="8"/>
      <c r="K385" s="8"/>
      <c r="L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194"/>
      <c r="AA385" s="194"/>
      <c r="AB385" s="194"/>
      <c r="AC385" s="11"/>
      <c r="AD385" s="11"/>
      <c r="AE385" s="11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3"/>
      <c r="AY385" s="13"/>
      <c r="AZ385" s="13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</row>
    <row r="386" spans="1:63" ht="14.25" customHeight="1" x14ac:dyDescent="0.25">
      <c r="A386" s="9"/>
      <c r="B386" s="2"/>
      <c r="C386" s="2"/>
      <c r="D386" s="9"/>
      <c r="E386" s="9"/>
      <c r="F386" s="9"/>
      <c r="G386" s="9"/>
      <c r="H386" s="9"/>
      <c r="I386" s="8"/>
      <c r="J386" s="8"/>
      <c r="K386" s="8"/>
      <c r="L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194"/>
      <c r="AA386" s="194"/>
      <c r="AB386" s="194"/>
      <c r="AC386" s="11"/>
      <c r="AD386" s="11"/>
      <c r="AE386" s="11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3"/>
      <c r="AY386" s="13"/>
      <c r="AZ386" s="13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</row>
    <row r="387" spans="1:63" ht="14.25" customHeight="1" x14ac:dyDescent="0.25">
      <c r="A387" s="9"/>
      <c r="B387" s="2"/>
      <c r="C387" s="2"/>
      <c r="D387" s="9"/>
      <c r="E387" s="9"/>
      <c r="F387" s="9"/>
      <c r="G387" s="9"/>
      <c r="H387" s="9"/>
      <c r="I387" s="8"/>
      <c r="J387" s="8"/>
      <c r="K387" s="8"/>
      <c r="L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194"/>
      <c r="AA387" s="194"/>
      <c r="AB387" s="194"/>
      <c r="AC387" s="11"/>
      <c r="AD387" s="11"/>
      <c r="AE387" s="11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3"/>
      <c r="AY387" s="13"/>
      <c r="AZ387" s="13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</row>
    <row r="388" spans="1:63" ht="14.25" customHeight="1" x14ac:dyDescent="0.25">
      <c r="A388" s="9"/>
      <c r="B388" s="2"/>
      <c r="C388" s="2"/>
      <c r="D388" s="9"/>
      <c r="E388" s="9"/>
      <c r="F388" s="9"/>
      <c r="G388" s="9"/>
      <c r="H388" s="9"/>
      <c r="I388" s="8"/>
      <c r="J388" s="8"/>
      <c r="K388" s="8"/>
      <c r="L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194"/>
      <c r="AA388" s="194"/>
      <c r="AB388" s="194"/>
      <c r="AC388" s="11"/>
      <c r="AD388" s="11"/>
      <c r="AE388" s="11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3"/>
      <c r="AY388" s="13"/>
      <c r="AZ388" s="13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</row>
    <row r="389" spans="1:63" ht="14.25" customHeight="1" x14ac:dyDescent="0.25">
      <c r="A389" s="9"/>
      <c r="B389" s="2"/>
      <c r="C389" s="2"/>
      <c r="D389" s="9"/>
      <c r="E389" s="9"/>
      <c r="F389" s="9"/>
      <c r="G389" s="9"/>
      <c r="H389" s="9"/>
      <c r="I389" s="8"/>
      <c r="J389" s="8"/>
      <c r="K389" s="8"/>
      <c r="L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194"/>
      <c r="AA389" s="194"/>
      <c r="AB389" s="194"/>
      <c r="AC389" s="11"/>
      <c r="AD389" s="11"/>
      <c r="AE389" s="11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3"/>
      <c r="AY389" s="13"/>
      <c r="AZ389" s="13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</row>
    <row r="390" spans="1:63" ht="14.25" customHeight="1" x14ac:dyDescent="0.25">
      <c r="A390" s="9"/>
      <c r="B390" s="2"/>
      <c r="C390" s="2"/>
      <c r="D390" s="9"/>
      <c r="E390" s="9"/>
      <c r="F390" s="9"/>
      <c r="G390" s="9"/>
      <c r="H390" s="9"/>
      <c r="I390" s="8"/>
      <c r="J390" s="8"/>
      <c r="K390" s="8"/>
      <c r="L390" s="8"/>
      <c r="M390" s="8"/>
      <c r="N390" s="8"/>
      <c r="O390" s="8"/>
      <c r="P390" s="9"/>
      <c r="Q390" s="9"/>
      <c r="R390" s="9"/>
      <c r="S390" s="8"/>
      <c r="T390" s="8"/>
      <c r="U390" s="8"/>
      <c r="V390" s="8"/>
      <c r="W390" s="8"/>
      <c r="X390" s="8"/>
      <c r="Y390" s="8"/>
      <c r="Z390" s="194"/>
      <c r="AA390" s="194"/>
      <c r="AB390" s="194"/>
      <c r="AC390" s="11"/>
      <c r="AD390" s="11"/>
      <c r="AE390" s="11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3"/>
      <c r="AY390" s="13"/>
      <c r="AZ390" s="13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</row>
    <row r="391" spans="1:63" ht="14.25" customHeight="1" x14ac:dyDescent="0.25">
      <c r="A391" s="9"/>
      <c r="B391" s="2"/>
      <c r="C391" s="2"/>
      <c r="D391" s="9"/>
      <c r="E391" s="9"/>
      <c r="F391" s="9"/>
      <c r="G391" s="9"/>
      <c r="H391" s="9"/>
      <c r="I391" s="8"/>
      <c r="J391" s="8"/>
      <c r="K391" s="8"/>
      <c r="L391" s="8"/>
      <c r="M391" s="8"/>
      <c r="N391" s="8"/>
      <c r="O391" s="8"/>
      <c r="P391" s="9"/>
      <c r="Q391" s="9"/>
      <c r="R391" s="9"/>
      <c r="S391" s="8"/>
      <c r="T391" s="8"/>
      <c r="U391" s="8"/>
      <c r="V391" s="8"/>
      <c r="W391" s="8"/>
      <c r="X391" s="8"/>
      <c r="Y391" s="8"/>
      <c r="Z391" s="194"/>
      <c r="AA391" s="194"/>
      <c r="AB391" s="194"/>
      <c r="AC391" s="11"/>
      <c r="AD391" s="11"/>
      <c r="AE391" s="11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3"/>
      <c r="AY391" s="13"/>
      <c r="AZ391" s="13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</row>
    <row r="392" spans="1:63" ht="14.25" customHeight="1" x14ac:dyDescent="0.25">
      <c r="A392" s="9"/>
      <c r="B392" s="2"/>
      <c r="C392" s="2"/>
      <c r="D392" s="9"/>
      <c r="E392" s="9"/>
      <c r="F392" s="9"/>
      <c r="G392" s="9"/>
      <c r="H392" s="9"/>
      <c r="I392" s="8"/>
      <c r="J392" s="8"/>
      <c r="K392" s="8"/>
      <c r="L392" s="8"/>
      <c r="M392" s="8"/>
      <c r="N392" s="8"/>
      <c r="O392" s="8"/>
      <c r="P392" s="9"/>
      <c r="Q392" s="9"/>
      <c r="R392" s="9"/>
      <c r="S392" s="8"/>
      <c r="T392" s="8"/>
      <c r="U392" s="8"/>
      <c r="V392" s="8"/>
      <c r="W392" s="8"/>
      <c r="X392" s="8"/>
      <c r="Y392" s="8"/>
      <c r="Z392" s="194"/>
      <c r="AA392" s="194"/>
      <c r="AB392" s="194"/>
      <c r="AC392" s="11"/>
      <c r="AD392" s="11"/>
      <c r="AE392" s="11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3"/>
      <c r="AY392" s="13"/>
      <c r="AZ392" s="13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</row>
    <row r="393" spans="1:63" ht="14.25" customHeight="1" x14ac:dyDescent="0.25">
      <c r="A393" s="9"/>
      <c r="B393" s="2"/>
      <c r="C393" s="2"/>
      <c r="D393" s="9"/>
      <c r="E393" s="9"/>
      <c r="F393" s="9"/>
      <c r="G393" s="9"/>
      <c r="H393" s="9"/>
      <c r="I393" s="8"/>
      <c r="J393" s="8"/>
      <c r="K393" s="8"/>
      <c r="L393" s="8"/>
      <c r="M393" s="8"/>
      <c r="N393" s="8"/>
      <c r="O393" s="8"/>
      <c r="P393" s="9"/>
      <c r="Q393" s="9"/>
      <c r="R393" s="9"/>
      <c r="S393" s="8"/>
      <c r="T393" s="8"/>
      <c r="U393" s="8"/>
      <c r="V393" s="8"/>
      <c r="W393" s="8"/>
      <c r="X393" s="8"/>
      <c r="Y393" s="8"/>
      <c r="Z393" s="194"/>
      <c r="AA393" s="194"/>
      <c r="AB393" s="194"/>
      <c r="AC393" s="11"/>
      <c r="AD393" s="11"/>
      <c r="AE393" s="11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3"/>
      <c r="AY393" s="13"/>
      <c r="AZ393" s="13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</row>
    <row r="394" spans="1:63" ht="14.25" customHeight="1" x14ac:dyDescent="0.25">
      <c r="A394" s="9"/>
      <c r="B394" s="2"/>
      <c r="C394" s="2"/>
      <c r="D394" s="9"/>
      <c r="E394" s="9"/>
      <c r="F394" s="9"/>
      <c r="G394" s="9"/>
      <c r="H394" s="9"/>
      <c r="I394" s="8"/>
      <c r="J394" s="8"/>
      <c r="K394" s="8"/>
      <c r="L394" s="8"/>
      <c r="M394" s="8"/>
      <c r="N394" s="8"/>
      <c r="O394" s="8"/>
      <c r="P394" s="9"/>
      <c r="Q394" s="9"/>
      <c r="R394" s="9"/>
      <c r="S394" s="8"/>
      <c r="T394" s="8"/>
      <c r="U394" s="8"/>
      <c r="V394" s="8"/>
      <c r="W394" s="8"/>
      <c r="X394" s="8"/>
      <c r="Y394" s="8"/>
      <c r="Z394" s="194"/>
      <c r="AA394" s="194"/>
      <c r="AB394" s="194"/>
      <c r="AC394" s="11"/>
      <c r="AD394" s="11"/>
      <c r="AE394" s="11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3"/>
      <c r="AY394" s="13"/>
      <c r="AZ394" s="13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</row>
    <row r="395" spans="1:63" ht="14.25" customHeight="1" x14ac:dyDescent="0.25">
      <c r="A395" s="9"/>
      <c r="B395" s="2"/>
      <c r="C395" s="2"/>
      <c r="D395" s="9"/>
      <c r="E395" s="9"/>
      <c r="F395" s="9"/>
      <c r="G395" s="9"/>
      <c r="H395" s="9"/>
      <c r="I395" s="8"/>
      <c r="J395" s="8"/>
      <c r="K395" s="8"/>
      <c r="L395" s="8"/>
      <c r="M395" s="8"/>
      <c r="N395" s="8"/>
      <c r="O395" s="8"/>
      <c r="P395" s="9"/>
      <c r="Q395" s="9"/>
      <c r="R395" s="9"/>
      <c r="S395" s="8"/>
      <c r="T395" s="8"/>
      <c r="U395" s="8"/>
      <c r="V395" s="8"/>
      <c r="W395" s="8"/>
      <c r="X395" s="8"/>
      <c r="Y395" s="8"/>
      <c r="Z395" s="194"/>
      <c r="AA395" s="194"/>
      <c r="AB395" s="194"/>
      <c r="AC395" s="11"/>
      <c r="AD395" s="11"/>
      <c r="AE395" s="11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3"/>
      <c r="AY395" s="13"/>
      <c r="AZ395" s="13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</row>
    <row r="396" spans="1:63" ht="14.25" customHeight="1" x14ac:dyDescent="0.25">
      <c r="A396" s="9"/>
      <c r="B396" s="2"/>
      <c r="C396" s="2"/>
      <c r="D396" s="9"/>
      <c r="E396" s="9"/>
      <c r="F396" s="9"/>
      <c r="G396" s="9"/>
      <c r="H396" s="9"/>
      <c r="I396" s="8"/>
      <c r="J396" s="8"/>
      <c r="K396" s="8"/>
      <c r="L396" s="8"/>
      <c r="M396" s="8"/>
      <c r="N396" s="8"/>
      <c r="O396" s="8"/>
      <c r="P396" s="9"/>
      <c r="Q396" s="9"/>
      <c r="R396" s="9"/>
      <c r="S396" s="8"/>
      <c r="T396" s="8"/>
      <c r="U396" s="8"/>
      <c r="V396" s="8"/>
      <c r="W396" s="8"/>
      <c r="X396" s="8"/>
      <c r="Y396" s="8"/>
      <c r="Z396" s="194"/>
      <c r="AA396" s="194"/>
      <c r="AB396" s="194"/>
      <c r="AC396" s="11"/>
      <c r="AD396" s="11"/>
      <c r="AE396" s="11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3"/>
      <c r="AY396" s="13"/>
      <c r="AZ396" s="13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</row>
    <row r="397" spans="1:63" ht="14.25" customHeight="1" x14ac:dyDescent="0.25">
      <c r="A397" s="9"/>
      <c r="B397" s="2"/>
      <c r="C397" s="2"/>
      <c r="D397" s="9"/>
      <c r="E397" s="9"/>
      <c r="F397" s="9"/>
      <c r="G397" s="9"/>
      <c r="H397" s="9"/>
      <c r="I397" s="8"/>
      <c r="J397" s="8"/>
      <c r="K397" s="8"/>
      <c r="L397" s="8"/>
      <c r="M397" s="8"/>
      <c r="N397" s="8"/>
      <c r="O397" s="8"/>
      <c r="P397" s="9"/>
      <c r="Q397" s="9"/>
      <c r="R397" s="9"/>
      <c r="S397" s="8"/>
      <c r="T397" s="8"/>
      <c r="U397" s="8"/>
      <c r="V397" s="8"/>
      <c r="W397" s="8"/>
      <c r="X397" s="8"/>
      <c r="Y397" s="8"/>
      <c r="Z397" s="194"/>
      <c r="AA397" s="194"/>
      <c r="AB397" s="194"/>
      <c r="AC397" s="11"/>
      <c r="AD397" s="11"/>
      <c r="AE397" s="11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3"/>
      <c r="AY397" s="13"/>
      <c r="AZ397" s="13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</row>
    <row r="398" spans="1:63" ht="14.25" customHeight="1" x14ac:dyDescent="0.25">
      <c r="A398" s="9"/>
      <c r="B398" s="2"/>
      <c r="C398" s="2"/>
      <c r="D398" s="9"/>
      <c r="E398" s="9"/>
      <c r="F398" s="9"/>
      <c r="G398" s="9"/>
      <c r="H398" s="9"/>
      <c r="I398" s="8"/>
      <c r="J398" s="8"/>
      <c r="K398" s="8"/>
      <c r="L398" s="8"/>
      <c r="M398" s="8"/>
      <c r="N398" s="8"/>
      <c r="O398" s="8"/>
      <c r="P398" s="9"/>
      <c r="Q398" s="9"/>
      <c r="R398" s="9"/>
      <c r="S398" s="8"/>
      <c r="T398" s="8"/>
      <c r="U398" s="8"/>
      <c r="V398" s="8"/>
      <c r="W398" s="8"/>
      <c r="X398" s="8"/>
      <c r="Y398" s="8"/>
      <c r="Z398" s="194"/>
      <c r="AA398" s="194"/>
      <c r="AB398" s="194"/>
      <c r="AC398" s="11"/>
      <c r="AD398" s="11"/>
      <c r="AE398" s="11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3"/>
      <c r="AY398" s="13"/>
      <c r="AZ398" s="13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</row>
    <row r="399" spans="1:63" ht="14.25" customHeight="1" x14ac:dyDescent="0.25">
      <c r="A399" s="9"/>
      <c r="B399" s="2"/>
      <c r="C399" s="2"/>
      <c r="D399" s="9"/>
      <c r="E399" s="9"/>
      <c r="F399" s="9"/>
      <c r="G399" s="9"/>
      <c r="H399" s="9"/>
      <c r="I399" s="8"/>
      <c r="J399" s="8"/>
      <c r="K399" s="8"/>
      <c r="L399" s="8"/>
      <c r="M399" s="8"/>
      <c r="N399" s="8"/>
      <c r="O399" s="8"/>
      <c r="P399" s="9"/>
      <c r="Q399" s="9"/>
      <c r="R399" s="9"/>
      <c r="S399" s="8"/>
      <c r="T399" s="8"/>
      <c r="U399" s="8"/>
      <c r="V399" s="8"/>
      <c r="W399" s="8"/>
      <c r="X399" s="8"/>
      <c r="Y399" s="8"/>
      <c r="Z399" s="194"/>
      <c r="AA399" s="194"/>
      <c r="AB399" s="194"/>
      <c r="AC399" s="11"/>
      <c r="AD399" s="11"/>
      <c r="AE399" s="11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3"/>
      <c r="AY399" s="13"/>
      <c r="AZ399" s="13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</row>
    <row r="400" spans="1:63" ht="14.25" customHeight="1" x14ac:dyDescent="0.25">
      <c r="A400" s="9"/>
      <c r="B400" s="2"/>
      <c r="C400" s="2"/>
      <c r="D400" s="9"/>
      <c r="E400" s="9"/>
      <c r="F400" s="9"/>
      <c r="G400" s="9"/>
      <c r="H400" s="9"/>
      <c r="I400" s="8"/>
      <c r="J400" s="8"/>
      <c r="K400" s="8"/>
      <c r="L400" s="8"/>
      <c r="M400" s="8"/>
      <c r="N400" s="8"/>
      <c r="O400" s="8"/>
      <c r="P400" s="9"/>
      <c r="Q400" s="9"/>
      <c r="R400" s="9"/>
      <c r="S400" s="8"/>
      <c r="T400" s="8"/>
      <c r="U400" s="8"/>
      <c r="V400" s="8"/>
      <c r="W400" s="8"/>
      <c r="X400" s="8"/>
      <c r="Y400" s="8"/>
      <c r="Z400" s="194"/>
      <c r="AA400" s="194"/>
      <c r="AB400" s="194"/>
      <c r="AC400" s="11"/>
      <c r="AD400" s="11"/>
      <c r="AE400" s="11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3"/>
      <c r="AY400" s="13"/>
      <c r="AZ400" s="13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</row>
    <row r="401" spans="1:63" ht="14.25" customHeight="1" x14ac:dyDescent="0.25">
      <c r="A401" s="9"/>
      <c r="B401" s="2"/>
      <c r="C401" s="2"/>
      <c r="D401" s="9"/>
      <c r="E401" s="9"/>
      <c r="F401" s="9"/>
      <c r="G401" s="9"/>
      <c r="H401" s="9"/>
      <c r="I401" s="8"/>
      <c r="J401" s="8"/>
      <c r="K401" s="8"/>
      <c r="L401" s="8"/>
      <c r="M401" s="8"/>
      <c r="N401" s="8"/>
      <c r="O401" s="8"/>
      <c r="P401" s="9"/>
      <c r="Q401" s="9"/>
      <c r="R401" s="9"/>
      <c r="S401" s="8"/>
      <c r="T401" s="8"/>
      <c r="U401" s="8"/>
      <c r="V401" s="8"/>
      <c r="W401" s="8"/>
      <c r="X401" s="8"/>
      <c r="Y401" s="8"/>
      <c r="Z401" s="194"/>
      <c r="AA401" s="194"/>
      <c r="AB401" s="194"/>
      <c r="AC401" s="11"/>
      <c r="AD401" s="11"/>
      <c r="AE401" s="11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3"/>
      <c r="AY401" s="13"/>
      <c r="AZ401" s="13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</row>
    <row r="402" spans="1:63" ht="14.25" customHeight="1" x14ac:dyDescent="0.25">
      <c r="A402" s="9"/>
      <c r="B402" s="2"/>
      <c r="C402" s="2"/>
      <c r="D402" s="9"/>
      <c r="E402" s="9"/>
      <c r="F402" s="9"/>
      <c r="G402" s="9"/>
      <c r="H402" s="9"/>
      <c r="I402" s="8"/>
      <c r="J402" s="8"/>
      <c r="K402" s="8"/>
      <c r="L402" s="8"/>
      <c r="M402" s="8"/>
      <c r="N402" s="8"/>
      <c r="O402" s="8"/>
      <c r="P402" s="9"/>
      <c r="Q402" s="9"/>
      <c r="R402" s="9"/>
      <c r="S402" s="8"/>
      <c r="T402" s="8"/>
      <c r="U402" s="8"/>
      <c r="V402" s="8"/>
      <c r="W402" s="8"/>
      <c r="X402" s="8"/>
      <c r="Y402" s="8"/>
      <c r="Z402" s="194"/>
      <c r="AA402" s="194"/>
      <c r="AB402" s="194"/>
      <c r="AC402" s="11"/>
      <c r="AD402" s="11"/>
      <c r="AE402" s="11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3"/>
      <c r="AY402" s="13"/>
      <c r="AZ402" s="13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</row>
    <row r="403" spans="1:63" ht="14.25" customHeight="1" x14ac:dyDescent="0.25">
      <c r="A403" s="9"/>
      <c r="B403" s="2"/>
      <c r="C403" s="2"/>
      <c r="D403" s="9"/>
      <c r="E403" s="9"/>
      <c r="F403" s="9"/>
      <c r="G403" s="9"/>
      <c r="H403" s="9"/>
      <c r="I403" s="8"/>
      <c r="J403" s="8"/>
      <c r="K403" s="8"/>
      <c r="L403" s="8"/>
      <c r="M403" s="8"/>
      <c r="N403" s="8"/>
      <c r="O403" s="8"/>
      <c r="P403" s="9"/>
      <c r="Q403" s="9"/>
      <c r="R403" s="9"/>
      <c r="S403" s="8"/>
      <c r="T403" s="8"/>
      <c r="U403" s="8"/>
      <c r="V403" s="8"/>
      <c r="W403" s="8"/>
      <c r="X403" s="8"/>
      <c r="Y403" s="8"/>
      <c r="Z403" s="194"/>
      <c r="AA403" s="194"/>
      <c r="AB403" s="194"/>
      <c r="AC403" s="11"/>
      <c r="AD403" s="11"/>
      <c r="AE403" s="11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3"/>
      <c r="AY403" s="13"/>
      <c r="AZ403" s="13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</row>
    <row r="404" spans="1:63" ht="14.25" customHeight="1" x14ac:dyDescent="0.25">
      <c r="A404" s="9"/>
      <c r="B404" s="2"/>
      <c r="C404" s="2"/>
      <c r="D404" s="9"/>
      <c r="E404" s="9"/>
      <c r="F404" s="9"/>
      <c r="G404" s="9"/>
      <c r="H404" s="9"/>
      <c r="I404" s="8"/>
      <c r="J404" s="8"/>
      <c r="K404" s="8"/>
      <c r="L404" s="8"/>
      <c r="M404" s="8"/>
      <c r="N404" s="8"/>
      <c r="O404" s="8"/>
      <c r="P404" s="9"/>
      <c r="Q404" s="9"/>
      <c r="R404" s="9"/>
      <c r="S404" s="8"/>
      <c r="T404" s="8"/>
      <c r="U404" s="8"/>
      <c r="V404" s="8"/>
      <c r="W404" s="8"/>
      <c r="X404" s="8"/>
      <c r="Y404" s="8"/>
      <c r="Z404" s="194"/>
      <c r="AA404" s="194"/>
      <c r="AB404" s="194"/>
      <c r="AC404" s="11"/>
      <c r="AD404" s="11"/>
      <c r="AE404" s="11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3"/>
      <c r="AY404" s="13"/>
      <c r="AZ404" s="13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</row>
    <row r="405" spans="1:63" ht="14.25" customHeight="1" x14ac:dyDescent="0.25">
      <c r="A405" s="9"/>
      <c r="B405" s="2"/>
      <c r="C405" s="2"/>
      <c r="D405" s="9"/>
      <c r="E405" s="9"/>
      <c r="F405" s="9"/>
      <c r="G405" s="9"/>
      <c r="H405" s="9"/>
      <c r="I405" s="8"/>
      <c r="J405" s="8"/>
      <c r="K405" s="8"/>
      <c r="L405" s="8"/>
      <c r="M405" s="8"/>
      <c r="N405" s="8"/>
      <c r="O405" s="8"/>
      <c r="P405" s="9"/>
      <c r="Q405" s="9"/>
      <c r="R405" s="9"/>
      <c r="S405" s="8"/>
      <c r="T405" s="8"/>
      <c r="U405" s="8"/>
      <c r="V405" s="8"/>
      <c r="W405" s="8"/>
      <c r="X405" s="8"/>
      <c r="Y405" s="8"/>
      <c r="Z405" s="194"/>
      <c r="AA405" s="194"/>
      <c r="AB405" s="194"/>
      <c r="AC405" s="11"/>
      <c r="AD405" s="11"/>
      <c r="AE405" s="11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3"/>
      <c r="AY405" s="13"/>
      <c r="AZ405" s="13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</row>
    <row r="406" spans="1:63" ht="14.25" customHeight="1" x14ac:dyDescent="0.25">
      <c r="A406" s="9"/>
      <c r="B406" s="2"/>
      <c r="C406" s="2"/>
      <c r="D406" s="9"/>
      <c r="E406" s="9"/>
      <c r="F406" s="9"/>
      <c r="G406" s="9"/>
      <c r="H406" s="9"/>
      <c r="I406" s="8"/>
      <c r="J406" s="8"/>
      <c r="K406" s="8"/>
      <c r="L406" s="8"/>
      <c r="M406" s="8"/>
      <c r="N406" s="8"/>
      <c r="O406" s="8"/>
      <c r="P406" s="9"/>
      <c r="Q406" s="9"/>
      <c r="R406" s="9"/>
      <c r="S406" s="8"/>
      <c r="T406" s="8"/>
      <c r="U406" s="8"/>
      <c r="V406" s="8"/>
      <c r="W406" s="8"/>
      <c r="X406" s="8"/>
      <c r="Y406" s="8"/>
      <c r="Z406" s="194"/>
      <c r="AA406" s="194"/>
      <c r="AB406" s="194"/>
      <c r="AC406" s="11"/>
      <c r="AD406" s="11"/>
      <c r="AE406" s="11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3"/>
      <c r="AY406" s="13"/>
      <c r="AZ406" s="13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</row>
    <row r="407" spans="1:63" ht="14.25" customHeight="1" x14ac:dyDescent="0.25">
      <c r="A407" s="9"/>
      <c r="B407" s="2"/>
      <c r="C407" s="2"/>
      <c r="D407" s="9"/>
      <c r="E407" s="9"/>
      <c r="F407" s="9"/>
      <c r="G407" s="9"/>
      <c r="H407" s="9"/>
      <c r="I407" s="8"/>
      <c r="J407" s="8"/>
      <c r="K407" s="8"/>
      <c r="L407" s="8"/>
      <c r="M407" s="8"/>
      <c r="N407" s="8"/>
      <c r="O407" s="8"/>
      <c r="P407" s="9"/>
      <c r="Q407" s="9"/>
      <c r="R407" s="9"/>
      <c r="S407" s="8"/>
      <c r="T407" s="8"/>
      <c r="U407" s="8"/>
      <c r="V407" s="8"/>
      <c r="W407" s="8"/>
      <c r="X407" s="8"/>
      <c r="Y407" s="8"/>
      <c r="Z407" s="194"/>
      <c r="AA407" s="194"/>
      <c r="AB407" s="194"/>
      <c r="AC407" s="11"/>
      <c r="AD407" s="11"/>
      <c r="AE407" s="11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3"/>
      <c r="AY407" s="13"/>
      <c r="AZ407" s="13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</row>
    <row r="408" spans="1:63" ht="14.25" customHeight="1" x14ac:dyDescent="0.25">
      <c r="A408" s="9"/>
      <c r="B408" s="2"/>
      <c r="C408" s="2"/>
      <c r="D408" s="9"/>
      <c r="E408" s="9"/>
      <c r="F408" s="9"/>
      <c r="G408" s="9"/>
      <c r="H408" s="9"/>
      <c r="I408" s="8"/>
      <c r="J408" s="8"/>
      <c r="K408" s="8"/>
      <c r="L408" s="8"/>
      <c r="M408" s="8"/>
      <c r="N408" s="8"/>
      <c r="O408" s="8"/>
      <c r="P408" s="9"/>
      <c r="Q408" s="9"/>
      <c r="R408" s="9"/>
      <c r="S408" s="8"/>
      <c r="T408" s="8"/>
      <c r="U408" s="8"/>
      <c r="V408" s="8"/>
      <c r="W408" s="8"/>
      <c r="X408" s="8"/>
      <c r="Y408" s="8"/>
      <c r="Z408" s="194"/>
      <c r="AA408" s="194"/>
      <c r="AB408" s="194"/>
      <c r="AC408" s="11"/>
      <c r="AD408" s="11"/>
      <c r="AE408" s="11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3"/>
      <c r="AY408" s="13"/>
      <c r="AZ408" s="13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</row>
    <row r="409" spans="1:63" ht="14.25" customHeight="1" x14ac:dyDescent="0.25">
      <c r="A409" s="9"/>
      <c r="B409" s="2"/>
      <c r="C409" s="2"/>
      <c r="D409" s="9"/>
      <c r="E409" s="9"/>
      <c r="F409" s="9"/>
      <c r="G409" s="9"/>
      <c r="H409" s="9"/>
      <c r="I409" s="8"/>
      <c r="J409" s="8"/>
      <c r="K409" s="8"/>
      <c r="L409" s="8"/>
      <c r="M409" s="8"/>
      <c r="N409" s="8"/>
      <c r="O409" s="8"/>
      <c r="P409" s="9"/>
      <c r="Q409" s="9"/>
      <c r="R409" s="9"/>
      <c r="S409" s="8"/>
      <c r="T409" s="8"/>
      <c r="U409" s="8"/>
      <c r="V409" s="8"/>
      <c r="W409" s="8"/>
      <c r="X409" s="8"/>
      <c r="Y409" s="8"/>
      <c r="Z409" s="194"/>
      <c r="AA409" s="194"/>
      <c r="AB409" s="194"/>
      <c r="AC409" s="11"/>
      <c r="AD409" s="11"/>
      <c r="AE409" s="11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3"/>
      <c r="AY409" s="13"/>
      <c r="AZ409" s="13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</row>
    <row r="410" spans="1:63" ht="14.25" customHeight="1" x14ac:dyDescent="0.25">
      <c r="A410" s="9"/>
      <c r="B410" s="2"/>
      <c r="C410" s="2"/>
      <c r="D410" s="9"/>
      <c r="E410" s="9"/>
      <c r="F410" s="9"/>
      <c r="G410" s="9"/>
      <c r="H410" s="9"/>
      <c r="I410" s="8"/>
      <c r="J410" s="8"/>
      <c r="K410" s="8"/>
      <c r="L410" s="8"/>
      <c r="M410" s="8"/>
      <c r="N410" s="8"/>
      <c r="O410" s="8"/>
      <c r="P410" s="9"/>
      <c r="Q410" s="9"/>
      <c r="R410" s="9"/>
      <c r="S410" s="8"/>
      <c r="T410" s="8"/>
      <c r="U410" s="8"/>
      <c r="V410" s="8"/>
      <c r="W410" s="8"/>
      <c r="X410" s="8"/>
      <c r="Y410" s="8"/>
      <c r="Z410" s="194"/>
      <c r="AA410" s="194"/>
      <c r="AB410" s="194"/>
      <c r="AC410" s="11"/>
      <c r="AD410" s="11"/>
      <c r="AE410" s="11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3"/>
      <c r="AY410" s="13"/>
      <c r="AZ410" s="13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</row>
    <row r="411" spans="1:63" ht="14.25" customHeight="1" x14ac:dyDescent="0.25">
      <c r="A411" s="9"/>
      <c r="B411" s="2"/>
      <c r="C411" s="2"/>
      <c r="D411" s="9"/>
      <c r="E411" s="9"/>
      <c r="F411" s="9"/>
      <c r="G411" s="9"/>
      <c r="H411" s="9"/>
      <c r="I411" s="8"/>
      <c r="J411" s="8"/>
      <c r="K411" s="8"/>
      <c r="L411" s="8"/>
      <c r="M411" s="8"/>
      <c r="N411" s="8"/>
      <c r="O411" s="8"/>
      <c r="P411" s="9"/>
      <c r="Q411" s="9"/>
      <c r="R411" s="9"/>
      <c r="S411" s="8"/>
      <c r="T411" s="8"/>
      <c r="U411" s="8"/>
      <c r="V411" s="8"/>
      <c r="W411" s="8"/>
      <c r="X411" s="8"/>
      <c r="Y411" s="8"/>
      <c r="Z411" s="194"/>
      <c r="AA411" s="194"/>
      <c r="AB411" s="194"/>
      <c r="AC411" s="11"/>
      <c r="AD411" s="11"/>
      <c r="AE411" s="11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3"/>
      <c r="AY411" s="13"/>
      <c r="AZ411" s="13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</row>
    <row r="412" spans="1:63" ht="14.25" customHeight="1" x14ac:dyDescent="0.25">
      <c r="A412" s="9"/>
      <c r="B412" s="2"/>
      <c r="C412" s="2"/>
      <c r="D412" s="9"/>
      <c r="E412" s="9"/>
      <c r="F412" s="9"/>
      <c r="G412" s="9"/>
      <c r="H412" s="9"/>
      <c r="I412" s="8"/>
      <c r="J412" s="8"/>
      <c r="K412" s="8"/>
      <c r="L412" s="8"/>
      <c r="M412" s="8"/>
      <c r="N412" s="8"/>
      <c r="O412" s="8"/>
      <c r="P412" s="9"/>
      <c r="Q412" s="9"/>
      <c r="R412" s="9"/>
      <c r="S412" s="8"/>
      <c r="T412" s="8"/>
      <c r="U412" s="8"/>
      <c r="V412" s="8"/>
      <c r="W412" s="8"/>
      <c r="X412" s="8"/>
      <c r="Y412" s="8"/>
      <c r="Z412" s="194"/>
      <c r="AA412" s="194"/>
      <c r="AB412" s="194"/>
      <c r="AC412" s="11"/>
      <c r="AD412" s="11"/>
      <c r="AE412" s="11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3"/>
      <c r="AY412" s="13"/>
      <c r="AZ412" s="13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</row>
    <row r="413" spans="1:63" ht="14.25" customHeight="1" x14ac:dyDescent="0.25">
      <c r="A413" s="9"/>
      <c r="B413" s="2"/>
      <c r="C413" s="2"/>
      <c r="D413" s="9"/>
      <c r="E413" s="9"/>
      <c r="F413" s="9"/>
      <c r="G413" s="9"/>
      <c r="H413" s="9"/>
      <c r="I413" s="8"/>
      <c r="J413" s="8"/>
      <c r="K413" s="8"/>
      <c r="L413" s="8"/>
      <c r="M413" s="8"/>
      <c r="N413" s="8"/>
      <c r="O413" s="8"/>
      <c r="P413" s="9"/>
      <c r="Q413" s="9"/>
      <c r="R413" s="9"/>
      <c r="S413" s="8"/>
      <c r="T413" s="8"/>
      <c r="U413" s="8"/>
      <c r="V413" s="8"/>
      <c r="W413" s="8"/>
      <c r="X413" s="8"/>
      <c r="Y413" s="8"/>
      <c r="Z413" s="194"/>
      <c r="AA413" s="194"/>
      <c r="AB413" s="194"/>
      <c r="AC413" s="11"/>
      <c r="AD413" s="11"/>
      <c r="AE413" s="11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3"/>
      <c r="AY413" s="13"/>
      <c r="AZ413" s="13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</row>
    <row r="414" spans="1:63" ht="14.25" customHeight="1" x14ac:dyDescent="0.25">
      <c r="A414" s="9"/>
      <c r="B414" s="2"/>
      <c r="C414" s="2"/>
      <c r="D414" s="9"/>
      <c r="E414" s="9"/>
      <c r="F414" s="9"/>
      <c r="G414" s="9"/>
      <c r="H414" s="9"/>
      <c r="I414" s="8"/>
      <c r="J414" s="8"/>
      <c r="K414" s="8"/>
      <c r="L414" s="8"/>
      <c r="M414" s="8"/>
      <c r="N414" s="8"/>
      <c r="O414" s="8"/>
      <c r="P414" s="9"/>
      <c r="Q414" s="9"/>
      <c r="R414" s="9"/>
      <c r="S414" s="8"/>
      <c r="T414" s="8"/>
      <c r="U414" s="8"/>
      <c r="V414" s="8"/>
      <c r="W414" s="8"/>
      <c r="X414" s="8"/>
      <c r="Y414" s="8"/>
      <c r="Z414" s="194"/>
      <c r="AA414" s="194"/>
      <c r="AB414" s="194"/>
      <c r="AC414" s="11"/>
      <c r="AD414" s="11"/>
      <c r="AE414" s="11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3"/>
      <c r="AY414" s="13"/>
      <c r="AZ414" s="13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</row>
    <row r="415" spans="1:63" ht="14.25" customHeight="1" x14ac:dyDescent="0.25">
      <c r="A415" s="9"/>
      <c r="B415" s="2"/>
      <c r="C415" s="2"/>
      <c r="D415" s="9"/>
      <c r="E415" s="9"/>
      <c r="F415" s="9"/>
      <c r="G415" s="9"/>
      <c r="H415" s="9"/>
      <c r="I415" s="8"/>
      <c r="J415" s="8"/>
      <c r="K415" s="8"/>
      <c r="L415" s="8"/>
      <c r="M415" s="8"/>
      <c r="N415" s="8"/>
      <c r="O415" s="8"/>
      <c r="P415" s="9"/>
      <c r="Q415" s="9"/>
      <c r="R415" s="9"/>
      <c r="S415" s="8"/>
      <c r="T415" s="8"/>
      <c r="U415" s="8"/>
      <c r="V415" s="8"/>
      <c r="W415" s="8"/>
      <c r="X415" s="8"/>
      <c r="Y415" s="8"/>
      <c r="Z415" s="194"/>
      <c r="AA415" s="194"/>
      <c r="AB415" s="194"/>
      <c r="AC415" s="11"/>
      <c r="AD415" s="11"/>
      <c r="AE415" s="11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3"/>
      <c r="AY415" s="13"/>
      <c r="AZ415" s="13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</row>
    <row r="416" spans="1:63" ht="14.25" customHeight="1" x14ac:dyDescent="0.25">
      <c r="A416" s="9"/>
      <c r="B416" s="2"/>
      <c r="C416" s="2"/>
      <c r="D416" s="9"/>
      <c r="E416" s="9"/>
      <c r="F416" s="9"/>
      <c r="G416" s="9"/>
      <c r="H416" s="9"/>
      <c r="I416" s="8"/>
      <c r="J416" s="8"/>
      <c r="K416" s="8"/>
      <c r="L416" s="8"/>
      <c r="M416" s="8"/>
      <c r="N416" s="8"/>
      <c r="O416" s="8"/>
      <c r="P416" s="9"/>
      <c r="Q416" s="9"/>
      <c r="R416" s="9"/>
      <c r="S416" s="8"/>
      <c r="T416" s="8"/>
      <c r="U416" s="8"/>
      <c r="V416" s="8"/>
      <c r="W416" s="8"/>
      <c r="X416" s="8"/>
      <c r="Y416" s="8"/>
      <c r="Z416" s="194"/>
      <c r="AA416" s="194"/>
      <c r="AB416" s="194"/>
      <c r="AC416" s="11"/>
      <c r="AD416" s="11"/>
      <c r="AE416" s="11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3"/>
      <c r="AY416" s="13"/>
      <c r="AZ416" s="13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</row>
    <row r="417" spans="1:63" ht="14.25" customHeight="1" x14ac:dyDescent="0.25">
      <c r="A417" s="9"/>
      <c r="B417" s="2"/>
      <c r="C417" s="2"/>
      <c r="D417" s="9"/>
      <c r="E417" s="9"/>
      <c r="F417" s="9"/>
      <c r="G417" s="9"/>
      <c r="H417" s="9"/>
      <c r="I417" s="8"/>
      <c r="J417" s="8"/>
      <c r="K417" s="8"/>
      <c r="L417" s="8"/>
      <c r="M417" s="8"/>
      <c r="N417" s="8"/>
      <c r="O417" s="8"/>
      <c r="P417" s="9"/>
      <c r="Q417" s="9"/>
      <c r="R417" s="9"/>
      <c r="S417" s="8"/>
      <c r="T417" s="8"/>
      <c r="U417" s="8"/>
      <c r="V417" s="8"/>
      <c r="W417" s="8"/>
      <c r="X417" s="8"/>
      <c r="Y417" s="8"/>
      <c r="Z417" s="194"/>
      <c r="AA417" s="194"/>
      <c r="AB417" s="194"/>
      <c r="AC417" s="11"/>
      <c r="AD417" s="11"/>
      <c r="AE417" s="11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3"/>
      <c r="AY417" s="13"/>
      <c r="AZ417" s="13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</row>
    <row r="418" spans="1:63" ht="14.25" customHeight="1" x14ac:dyDescent="0.25">
      <c r="A418" s="9"/>
      <c r="B418" s="2"/>
      <c r="C418" s="2"/>
      <c r="D418" s="9"/>
      <c r="E418" s="9"/>
      <c r="F418" s="9"/>
      <c r="G418" s="9"/>
      <c r="H418" s="9"/>
      <c r="I418" s="8"/>
      <c r="J418" s="8"/>
      <c r="K418" s="8"/>
      <c r="L418" s="8"/>
      <c r="M418" s="8"/>
      <c r="N418" s="8"/>
      <c r="O418" s="8"/>
      <c r="P418" s="9"/>
      <c r="Q418" s="9"/>
      <c r="R418" s="9"/>
      <c r="S418" s="8"/>
      <c r="T418" s="8"/>
      <c r="U418" s="8"/>
      <c r="V418" s="8"/>
      <c r="W418" s="8"/>
      <c r="X418" s="8"/>
      <c r="Y418" s="8"/>
      <c r="Z418" s="194"/>
      <c r="AA418" s="194"/>
      <c r="AB418" s="194"/>
      <c r="AC418" s="11"/>
      <c r="AD418" s="11"/>
      <c r="AE418" s="11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3"/>
      <c r="AY418" s="13"/>
      <c r="AZ418" s="13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</row>
    <row r="419" spans="1:63" ht="14.25" customHeight="1" x14ac:dyDescent="0.25">
      <c r="A419" s="9"/>
      <c r="B419" s="2"/>
      <c r="C419" s="2"/>
      <c r="D419" s="9"/>
      <c r="E419" s="9"/>
      <c r="F419" s="9"/>
      <c r="G419" s="9"/>
      <c r="H419" s="9"/>
      <c r="I419" s="8"/>
      <c r="J419" s="8"/>
      <c r="K419" s="8"/>
      <c r="L419" s="8"/>
      <c r="M419" s="8"/>
      <c r="N419" s="8"/>
      <c r="O419" s="8"/>
      <c r="P419" s="9"/>
      <c r="Q419" s="9"/>
      <c r="R419" s="9"/>
      <c r="S419" s="8"/>
      <c r="T419" s="8"/>
      <c r="U419" s="8"/>
      <c r="V419" s="8"/>
      <c r="W419" s="8"/>
      <c r="X419" s="8"/>
      <c r="Y419" s="8"/>
      <c r="Z419" s="194"/>
      <c r="AA419" s="194"/>
      <c r="AB419" s="194"/>
      <c r="AC419" s="11"/>
      <c r="AD419" s="11"/>
      <c r="AE419" s="11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3"/>
      <c r="AY419" s="13"/>
      <c r="AZ419" s="13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</row>
    <row r="420" spans="1:63" ht="14.25" customHeight="1" x14ac:dyDescent="0.25">
      <c r="A420" s="9"/>
      <c r="B420" s="2"/>
      <c r="C420" s="2"/>
      <c r="D420" s="9"/>
      <c r="E420" s="9"/>
      <c r="F420" s="9"/>
      <c r="G420" s="9"/>
      <c r="H420" s="9"/>
      <c r="I420" s="8"/>
      <c r="J420" s="8"/>
      <c r="K420" s="8"/>
      <c r="L420" s="8"/>
      <c r="M420" s="8"/>
      <c r="N420" s="8"/>
      <c r="O420" s="8"/>
      <c r="P420" s="9"/>
      <c r="Q420" s="9"/>
      <c r="R420" s="9"/>
      <c r="S420" s="8"/>
      <c r="T420" s="8"/>
      <c r="U420" s="8"/>
      <c r="V420" s="8"/>
      <c r="W420" s="8"/>
      <c r="X420" s="8"/>
      <c r="Y420" s="8"/>
      <c r="Z420" s="194"/>
      <c r="AA420" s="194"/>
      <c r="AB420" s="194"/>
      <c r="AC420" s="11"/>
      <c r="AD420" s="11"/>
      <c r="AE420" s="11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3"/>
      <c r="AY420" s="13"/>
      <c r="AZ420" s="13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</row>
    <row r="421" spans="1:63" ht="14.25" customHeight="1" x14ac:dyDescent="0.25">
      <c r="A421" s="9"/>
      <c r="B421" s="2"/>
      <c r="C421" s="2"/>
      <c r="D421" s="9"/>
      <c r="E421" s="9"/>
      <c r="F421" s="9"/>
      <c r="G421" s="9"/>
      <c r="H421" s="9"/>
      <c r="I421" s="8"/>
      <c r="J421" s="8"/>
      <c r="K421" s="8"/>
      <c r="L421" s="8"/>
      <c r="M421" s="8"/>
      <c r="N421" s="8"/>
      <c r="O421" s="8"/>
      <c r="P421" s="9"/>
      <c r="Q421" s="9"/>
      <c r="R421" s="9"/>
      <c r="S421" s="8"/>
      <c r="T421" s="8"/>
      <c r="U421" s="8"/>
      <c r="V421" s="8"/>
      <c r="W421" s="8"/>
      <c r="X421" s="8"/>
      <c r="Y421" s="8"/>
      <c r="Z421" s="194"/>
      <c r="AA421" s="194"/>
      <c r="AB421" s="194"/>
      <c r="AC421" s="11"/>
      <c r="AD421" s="11"/>
      <c r="AE421" s="11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3"/>
      <c r="AY421" s="13"/>
      <c r="AZ421" s="13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</row>
    <row r="422" spans="1:63" ht="14.25" customHeight="1" x14ac:dyDescent="0.25">
      <c r="A422" s="9"/>
      <c r="B422" s="2"/>
      <c r="C422" s="2"/>
      <c r="D422" s="9"/>
      <c r="E422" s="9"/>
      <c r="F422" s="9"/>
      <c r="G422" s="9"/>
      <c r="H422" s="9"/>
      <c r="I422" s="8"/>
      <c r="J422" s="8"/>
      <c r="K422" s="8"/>
      <c r="L422" s="8"/>
      <c r="M422" s="8"/>
      <c r="N422" s="8"/>
      <c r="O422" s="8"/>
      <c r="P422" s="9"/>
      <c r="Q422" s="9"/>
      <c r="R422" s="9"/>
      <c r="S422" s="8"/>
      <c r="T422" s="8"/>
      <c r="U422" s="8"/>
      <c r="V422" s="8"/>
      <c r="W422" s="8"/>
      <c r="X422" s="8"/>
      <c r="Y422" s="8"/>
      <c r="Z422" s="194"/>
      <c r="AA422" s="194"/>
      <c r="AB422" s="194"/>
      <c r="AC422" s="11"/>
      <c r="AD422" s="11"/>
      <c r="AE422" s="11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3"/>
      <c r="AY422" s="13"/>
      <c r="AZ422" s="13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</row>
    <row r="423" spans="1:63" ht="14.25" customHeight="1" x14ac:dyDescent="0.25">
      <c r="A423" s="9"/>
      <c r="B423" s="2"/>
      <c r="C423" s="2"/>
      <c r="D423" s="9"/>
      <c r="E423" s="9"/>
      <c r="F423" s="9"/>
      <c r="G423" s="9"/>
      <c r="H423" s="9"/>
      <c r="I423" s="8"/>
      <c r="J423" s="8"/>
      <c r="K423" s="8"/>
      <c r="L423" s="8"/>
      <c r="M423" s="8"/>
      <c r="N423" s="8"/>
      <c r="O423" s="8"/>
      <c r="P423" s="9"/>
      <c r="Q423" s="9"/>
      <c r="R423" s="9"/>
      <c r="S423" s="8"/>
      <c r="T423" s="8"/>
      <c r="U423" s="8"/>
      <c r="V423" s="8"/>
      <c r="W423" s="8"/>
      <c r="X423" s="8"/>
      <c r="Y423" s="8"/>
      <c r="Z423" s="194"/>
      <c r="AA423" s="194"/>
      <c r="AB423" s="194"/>
      <c r="AC423" s="11"/>
      <c r="AD423" s="11"/>
      <c r="AE423" s="11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3"/>
      <c r="AY423" s="13"/>
      <c r="AZ423" s="13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</row>
    <row r="424" spans="1:63" ht="14.25" customHeight="1" x14ac:dyDescent="0.25">
      <c r="A424" s="9"/>
      <c r="B424" s="2"/>
      <c r="C424" s="2"/>
      <c r="D424" s="9"/>
      <c r="E424" s="9"/>
      <c r="F424" s="9"/>
      <c r="G424" s="9"/>
      <c r="H424" s="9"/>
      <c r="I424" s="8"/>
      <c r="J424" s="8"/>
      <c r="K424" s="8"/>
      <c r="L424" s="8"/>
      <c r="M424" s="8"/>
      <c r="N424" s="8"/>
      <c r="O424" s="8"/>
      <c r="P424" s="9"/>
      <c r="Q424" s="9"/>
      <c r="R424" s="9"/>
      <c r="S424" s="8"/>
      <c r="T424" s="8"/>
      <c r="U424" s="8"/>
      <c r="V424" s="8"/>
      <c r="W424" s="8"/>
      <c r="X424" s="8"/>
      <c r="Y424" s="8"/>
      <c r="Z424" s="194"/>
      <c r="AA424" s="194"/>
      <c r="AB424" s="194"/>
      <c r="AC424" s="11"/>
      <c r="AD424" s="11"/>
      <c r="AE424" s="11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3"/>
      <c r="AY424" s="13"/>
      <c r="AZ424" s="13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</row>
    <row r="425" spans="1:63" ht="14.25" customHeight="1" x14ac:dyDescent="0.25">
      <c r="A425" s="9"/>
      <c r="B425" s="2"/>
      <c r="C425" s="2"/>
      <c r="D425" s="9"/>
      <c r="E425" s="9"/>
      <c r="F425" s="9"/>
      <c r="G425" s="9"/>
      <c r="H425" s="9"/>
      <c r="I425" s="8"/>
      <c r="J425" s="8"/>
      <c r="K425" s="8"/>
      <c r="L425" s="8"/>
      <c r="M425" s="8"/>
      <c r="N425" s="8"/>
      <c r="O425" s="8"/>
      <c r="P425" s="9"/>
      <c r="Q425" s="9"/>
      <c r="R425" s="9"/>
      <c r="S425" s="8"/>
      <c r="T425" s="8"/>
      <c r="U425" s="8"/>
      <c r="V425" s="8"/>
      <c r="W425" s="8"/>
      <c r="X425" s="8"/>
      <c r="Y425" s="8"/>
      <c r="Z425" s="194"/>
      <c r="AA425" s="194"/>
      <c r="AB425" s="194"/>
      <c r="AC425" s="11"/>
      <c r="AD425" s="11"/>
      <c r="AE425" s="11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3"/>
      <c r="AY425" s="13"/>
      <c r="AZ425" s="13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</row>
    <row r="426" spans="1:63" ht="14.25" customHeight="1" x14ac:dyDescent="0.25">
      <c r="A426" s="9"/>
      <c r="B426" s="2"/>
      <c r="C426" s="2"/>
      <c r="D426" s="9"/>
      <c r="E426" s="9"/>
      <c r="F426" s="9"/>
      <c r="G426" s="9"/>
      <c r="H426" s="9"/>
      <c r="I426" s="8"/>
      <c r="J426" s="8"/>
      <c r="K426" s="8"/>
      <c r="L426" s="8"/>
      <c r="M426" s="8"/>
      <c r="N426" s="8"/>
      <c r="O426" s="8"/>
      <c r="P426" s="9"/>
      <c r="Q426" s="9"/>
      <c r="R426" s="9"/>
      <c r="S426" s="8"/>
      <c r="T426" s="8"/>
      <c r="U426" s="8"/>
      <c r="V426" s="8"/>
      <c r="W426" s="8"/>
      <c r="X426" s="8"/>
      <c r="Y426" s="8"/>
      <c r="Z426" s="194"/>
      <c r="AA426" s="194"/>
      <c r="AB426" s="194"/>
      <c r="AC426" s="11"/>
      <c r="AD426" s="11"/>
      <c r="AE426" s="11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3"/>
      <c r="AY426" s="13"/>
      <c r="AZ426" s="13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</row>
    <row r="427" spans="1:63" ht="14.25" customHeight="1" x14ac:dyDescent="0.25">
      <c r="A427" s="9"/>
      <c r="B427" s="2"/>
      <c r="C427" s="2"/>
      <c r="D427" s="9"/>
      <c r="E427" s="9"/>
      <c r="F427" s="9"/>
      <c r="G427" s="9"/>
      <c r="H427" s="9"/>
      <c r="I427" s="8"/>
      <c r="J427" s="8"/>
      <c r="K427" s="8"/>
      <c r="L427" s="8"/>
      <c r="M427" s="8"/>
      <c r="N427" s="8"/>
      <c r="O427" s="8"/>
      <c r="P427" s="9"/>
      <c r="Q427" s="9"/>
      <c r="R427" s="9"/>
      <c r="S427" s="8"/>
      <c r="T427" s="8"/>
      <c r="U427" s="8"/>
      <c r="V427" s="8"/>
      <c r="W427" s="8"/>
      <c r="X427" s="8"/>
      <c r="Y427" s="8"/>
      <c r="Z427" s="194"/>
      <c r="AA427" s="194"/>
      <c r="AB427" s="194"/>
      <c r="AC427" s="11"/>
      <c r="AD427" s="11"/>
      <c r="AE427" s="11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3"/>
      <c r="AY427" s="13"/>
      <c r="AZ427" s="13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</row>
    <row r="428" spans="1:63" ht="14.25" customHeight="1" x14ac:dyDescent="0.25">
      <c r="A428" s="9"/>
      <c r="B428" s="2"/>
      <c r="C428" s="2"/>
      <c r="D428" s="9"/>
      <c r="E428" s="9"/>
      <c r="F428" s="9"/>
      <c r="G428" s="9"/>
      <c r="H428" s="9"/>
      <c r="I428" s="8"/>
      <c r="J428" s="8"/>
      <c r="K428" s="8"/>
      <c r="L428" s="8"/>
      <c r="M428" s="8"/>
      <c r="N428" s="8"/>
      <c r="O428" s="8"/>
      <c r="P428" s="9"/>
      <c r="Q428" s="9"/>
      <c r="R428" s="9"/>
      <c r="S428" s="8"/>
      <c r="T428" s="8"/>
      <c r="U428" s="8"/>
      <c r="V428" s="8"/>
      <c r="W428" s="8"/>
      <c r="X428" s="8"/>
      <c r="Y428" s="8"/>
      <c r="Z428" s="194"/>
      <c r="AA428" s="194"/>
      <c r="AB428" s="194"/>
      <c r="AC428" s="11"/>
      <c r="AD428" s="11"/>
      <c r="AE428" s="11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3"/>
      <c r="AY428" s="13"/>
      <c r="AZ428" s="13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</row>
    <row r="429" spans="1:63" ht="14.25" customHeight="1" x14ac:dyDescent="0.25">
      <c r="A429" s="9"/>
      <c r="B429" s="2"/>
      <c r="C429" s="2"/>
      <c r="D429" s="9"/>
      <c r="E429" s="9"/>
      <c r="F429" s="9"/>
      <c r="G429" s="9"/>
      <c r="H429" s="9"/>
      <c r="I429" s="8"/>
      <c r="J429" s="8"/>
      <c r="K429" s="8"/>
      <c r="L429" s="8"/>
      <c r="M429" s="8"/>
      <c r="N429" s="8"/>
      <c r="O429" s="8"/>
      <c r="P429" s="9"/>
      <c r="Q429" s="9"/>
      <c r="R429" s="9"/>
      <c r="S429" s="8"/>
      <c r="T429" s="8"/>
      <c r="U429" s="8"/>
      <c r="V429" s="8"/>
      <c r="W429" s="8"/>
      <c r="X429" s="8"/>
      <c r="Y429" s="8"/>
      <c r="Z429" s="194"/>
      <c r="AA429" s="194"/>
      <c r="AB429" s="194"/>
      <c r="AC429" s="11"/>
      <c r="AD429" s="11"/>
      <c r="AE429" s="11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3"/>
      <c r="AY429" s="13"/>
      <c r="AZ429" s="13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</row>
    <row r="430" spans="1:63" ht="14.25" customHeight="1" x14ac:dyDescent="0.25">
      <c r="A430" s="9"/>
      <c r="B430" s="2"/>
      <c r="C430" s="2"/>
      <c r="D430" s="9"/>
      <c r="E430" s="9"/>
      <c r="F430" s="9"/>
      <c r="G430" s="9"/>
      <c r="H430" s="9"/>
      <c r="I430" s="8"/>
      <c r="J430" s="8"/>
      <c r="K430" s="8"/>
      <c r="L430" s="8"/>
      <c r="M430" s="8"/>
      <c r="N430" s="8"/>
      <c r="O430" s="8"/>
      <c r="P430" s="9"/>
      <c r="Q430" s="9"/>
      <c r="R430" s="9"/>
      <c r="S430" s="8"/>
      <c r="T430" s="8"/>
      <c r="U430" s="8"/>
      <c r="V430" s="8"/>
      <c r="W430" s="8"/>
      <c r="X430" s="8"/>
      <c r="Y430" s="8"/>
      <c r="Z430" s="194"/>
      <c r="AA430" s="194"/>
      <c r="AB430" s="194"/>
      <c r="AC430" s="11"/>
      <c r="AD430" s="11"/>
      <c r="AE430" s="11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3"/>
      <c r="AY430" s="13"/>
      <c r="AZ430" s="13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</row>
    <row r="431" spans="1:63" ht="14.25" customHeight="1" x14ac:dyDescent="0.25">
      <c r="A431" s="9"/>
      <c r="B431" s="2"/>
      <c r="C431" s="2"/>
      <c r="D431" s="9"/>
      <c r="E431" s="9"/>
      <c r="F431" s="9"/>
      <c r="G431" s="9"/>
      <c r="H431" s="9"/>
      <c r="I431" s="8"/>
      <c r="J431" s="8"/>
      <c r="K431" s="8"/>
      <c r="L431" s="8"/>
      <c r="M431" s="8"/>
      <c r="N431" s="8"/>
      <c r="O431" s="8"/>
      <c r="P431" s="9"/>
      <c r="Q431" s="9"/>
      <c r="R431" s="9"/>
      <c r="S431" s="8"/>
      <c r="T431" s="8"/>
      <c r="U431" s="8"/>
      <c r="V431" s="8"/>
      <c r="W431" s="8"/>
      <c r="X431" s="8"/>
      <c r="Y431" s="8"/>
      <c r="Z431" s="194"/>
      <c r="AA431" s="194"/>
      <c r="AB431" s="194"/>
      <c r="AC431" s="11"/>
      <c r="AD431" s="11"/>
      <c r="AE431" s="11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3"/>
      <c r="AY431" s="13"/>
      <c r="AZ431" s="13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</row>
    <row r="432" spans="1:63" ht="14.25" customHeight="1" x14ac:dyDescent="0.25">
      <c r="A432" s="9"/>
      <c r="B432" s="2"/>
      <c r="C432" s="2"/>
      <c r="D432" s="9"/>
      <c r="E432" s="9"/>
      <c r="F432" s="9"/>
      <c r="G432" s="9"/>
      <c r="H432" s="9"/>
      <c r="I432" s="8"/>
      <c r="J432" s="8"/>
      <c r="K432" s="8"/>
      <c r="L432" s="8"/>
      <c r="M432" s="8"/>
      <c r="N432" s="8"/>
      <c r="O432" s="8"/>
      <c r="P432" s="9"/>
      <c r="Q432" s="9"/>
      <c r="R432" s="9"/>
      <c r="S432" s="8"/>
      <c r="T432" s="8"/>
      <c r="U432" s="8"/>
      <c r="V432" s="8"/>
      <c r="W432" s="8"/>
      <c r="X432" s="8"/>
      <c r="Y432" s="8"/>
      <c r="Z432" s="194"/>
      <c r="AA432" s="194"/>
      <c r="AB432" s="194"/>
      <c r="AC432" s="11"/>
      <c r="AD432" s="11"/>
      <c r="AE432" s="11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3"/>
      <c r="AY432" s="13"/>
      <c r="AZ432" s="13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</row>
    <row r="433" spans="1:63" ht="14.25" customHeight="1" x14ac:dyDescent="0.25">
      <c r="A433" s="9"/>
      <c r="B433" s="2"/>
      <c r="C433" s="2"/>
      <c r="D433" s="9"/>
      <c r="E433" s="9"/>
      <c r="F433" s="9"/>
      <c r="G433" s="9"/>
      <c r="H433" s="9"/>
      <c r="I433" s="8"/>
      <c r="J433" s="8"/>
      <c r="K433" s="8"/>
      <c r="L433" s="8"/>
      <c r="M433" s="8"/>
      <c r="N433" s="8"/>
      <c r="O433" s="8"/>
      <c r="P433" s="9"/>
      <c r="Q433" s="9"/>
      <c r="R433" s="9"/>
      <c r="S433" s="8"/>
      <c r="T433" s="8"/>
      <c r="U433" s="8"/>
      <c r="V433" s="8"/>
      <c r="W433" s="8"/>
      <c r="X433" s="8"/>
      <c r="Y433" s="8"/>
      <c r="Z433" s="194"/>
      <c r="AA433" s="194"/>
      <c r="AB433" s="194"/>
      <c r="AC433" s="11"/>
      <c r="AD433" s="11"/>
      <c r="AE433" s="11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3"/>
      <c r="AY433" s="13"/>
      <c r="AZ433" s="13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</row>
    <row r="434" spans="1:63" ht="14.25" customHeight="1" x14ac:dyDescent="0.25">
      <c r="A434" s="9"/>
      <c r="B434" s="2"/>
      <c r="C434" s="2"/>
      <c r="D434" s="9"/>
      <c r="E434" s="9"/>
      <c r="F434" s="9"/>
      <c r="G434" s="9"/>
      <c r="H434" s="9"/>
      <c r="I434" s="8"/>
      <c r="J434" s="8"/>
      <c r="K434" s="8"/>
      <c r="L434" s="8"/>
      <c r="M434" s="8"/>
      <c r="N434" s="8"/>
      <c r="O434" s="8"/>
      <c r="P434" s="9"/>
      <c r="Q434" s="9"/>
      <c r="R434" s="9"/>
      <c r="S434" s="8"/>
      <c r="T434" s="8"/>
      <c r="U434" s="8"/>
      <c r="V434" s="8"/>
      <c r="W434" s="8"/>
      <c r="X434" s="8"/>
      <c r="Y434" s="8"/>
      <c r="Z434" s="194"/>
      <c r="AA434" s="194"/>
      <c r="AB434" s="194"/>
      <c r="AC434" s="11"/>
      <c r="AD434" s="11"/>
      <c r="AE434" s="11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3"/>
      <c r="AY434" s="13"/>
      <c r="AZ434" s="13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</row>
    <row r="435" spans="1:63" ht="14.25" customHeight="1" x14ac:dyDescent="0.25">
      <c r="A435" s="9"/>
      <c r="B435" s="2"/>
      <c r="C435" s="2"/>
      <c r="D435" s="9"/>
      <c r="E435" s="9"/>
      <c r="F435" s="9"/>
      <c r="G435" s="9"/>
      <c r="H435" s="9"/>
      <c r="I435" s="8"/>
      <c r="J435" s="8"/>
      <c r="K435" s="8"/>
      <c r="L435" s="8"/>
      <c r="M435" s="8"/>
      <c r="N435" s="8"/>
      <c r="O435" s="8"/>
      <c r="P435" s="9"/>
      <c r="Q435" s="9"/>
      <c r="R435" s="9"/>
      <c r="S435" s="8"/>
      <c r="T435" s="8"/>
      <c r="U435" s="8"/>
      <c r="V435" s="8"/>
      <c r="W435" s="8"/>
      <c r="X435" s="8"/>
      <c r="Y435" s="8"/>
      <c r="Z435" s="194"/>
      <c r="AA435" s="194"/>
      <c r="AB435" s="194"/>
      <c r="AC435" s="11"/>
      <c r="AD435" s="11"/>
      <c r="AE435" s="11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3"/>
      <c r="AY435" s="13"/>
      <c r="AZ435" s="13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</row>
    <row r="436" spans="1:63" ht="14.25" customHeight="1" x14ac:dyDescent="0.25">
      <c r="A436" s="9"/>
      <c r="B436" s="2"/>
      <c r="C436" s="2"/>
      <c r="D436" s="9"/>
      <c r="E436" s="9"/>
      <c r="F436" s="9"/>
      <c r="G436" s="9"/>
      <c r="H436" s="9"/>
      <c r="I436" s="8"/>
      <c r="J436" s="8"/>
      <c r="K436" s="8"/>
      <c r="L436" s="8"/>
      <c r="M436" s="8"/>
      <c r="N436" s="8"/>
      <c r="O436" s="8"/>
      <c r="P436" s="9"/>
      <c r="Q436" s="9"/>
      <c r="R436" s="9"/>
      <c r="S436" s="8"/>
      <c r="T436" s="8"/>
      <c r="U436" s="8"/>
      <c r="V436" s="8"/>
      <c r="W436" s="8"/>
      <c r="X436" s="8"/>
      <c r="Y436" s="8"/>
      <c r="Z436" s="194"/>
      <c r="AA436" s="194"/>
      <c r="AB436" s="194"/>
      <c r="AC436" s="11"/>
      <c r="AD436" s="11"/>
      <c r="AE436" s="11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3"/>
      <c r="AY436" s="13"/>
      <c r="AZ436" s="13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</row>
    <row r="437" spans="1:63" ht="14.25" customHeight="1" x14ac:dyDescent="0.25">
      <c r="A437" s="9"/>
      <c r="B437" s="2"/>
      <c r="C437" s="2"/>
      <c r="D437" s="9"/>
      <c r="E437" s="9"/>
      <c r="F437" s="9"/>
      <c r="G437" s="9"/>
      <c r="H437" s="9"/>
      <c r="I437" s="8"/>
      <c r="J437" s="8"/>
      <c r="K437" s="8"/>
      <c r="L437" s="8"/>
      <c r="M437" s="8"/>
      <c r="N437" s="8"/>
      <c r="O437" s="8"/>
      <c r="P437" s="9"/>
      <c r="Q437" s="9"/>
      <c r="R437" s="9"/>
      <c r="S437" s="8"/>
      <c r="T437" s="8"/>
      <c r="U437" s="8"/>
      <c r="V437" s="8"/>
      <c r="W437" s="8"/>
      <c r="X437" s="8"/>
      <c r="Y437" s="8"/>
      <c r="Z437" s="194"/>
      <c r="AA437" s="194"/>
      <c r="AB437" s="194"/>
      <c r="AC437" s="11"/>
      <c r="AD437" s="11"/>
      <c r="AE437" s="11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3"/>
      <c r="AY437" s="13"/>
      <c r="AZ437" s="13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</row>
    <row r="438" spans="1:63" ht="14.25" customHeight="1" x14ac:dyDescent="0.25">
      <c r="A438" s="9"/>
      <c r="B438" s="2"/>
      <c r="C438" s="2"/>
      <c r="D438" s="9"/>
      <c r="E438" s="9"/>
      <c r="F438" s="9"/>
      <c r="G438" s="9"/>
      <c r="H438" s="9"/>
      <c r="I438" s="8"/>
      <c r="J438" s="8"/>
      <c r="K438" s="8"/>
      <c r="L438" s="8"/>
      <c r="M438" s="8"/>
      <c r="N438" s="8"/>
      <c r="O438" s="8"/>
      <c r="P438" s="9"/>
      <c r="Q438" s="9"/>
      <c r="R438" s="9"/>
      <c r="S438" s="8"/>
      <c r="T438" s="8"/>
      <c r="U438" s="8"/>
      <c r="V438" s="8"/>
      <c r="W438" s="8"/>
      <c r="X438" s="8"/>
      <c r="Y438" s="8"/>
      <c r="Z438" s="194"/>
      <c r="AA438" s="194"/>
      <c r="AB438" s="194"/>
      <c r="AC438" s="11"/>
      <c r="AD438" s="11"/>
      <c r="AE438" s="11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3"/>
      <c r="AY438" s="13"/>
      <c r="AZ438" s="13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</row>
    <row r="439" spans="1:63" ht="14.25" customHeight="1" x14ac:dyDescent="0.25">
      <c r="A439" s="9"/>
      <c r="B439" s="2"/>
      <c r="C439" s="2"/>
      <c r="D439" s="9"/>
      <c r="E439" s="9"/>
      <c r="F439" s="9"/>
      <c r="G439" s="9"/>
      <c r="H439" s="9"/>
      <c r="I439" s="8"/>
      <c r="J439" s="8"/>
      <c r="K439" s="8"/>
      <c r="L439" s="8"/>
      <c r="M439" s="8"/>
      <c r="N439" s="8"/>
      <c r="O439" s="8"/>
      <c r="P439" s="9"/>
      <c r="Q439" s="9"/>
      <c r="R439" s="9"/>
      <c r="S439" s="8"/>
      <c r="T439" s="8"/>
      <c r="U439" s="8"/>
      <c r="V439" s="8"/>
      <c r="W439" s="8"/>
      <c r="X439" s="8"/>
      <c r="Y439" s="8"/>
      <c r="Z439" s="194"/>
      <c r="AA439" s="194"/>
      <c r="AB439" s="194"/>
      <c r="AC439" s="11"/>
      <c r="AD439" s="11"/>
      <c r="AE439" s="11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3"/>
      <c r="AY439" s="13"/>
      <c r="AZ439" s="13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</row>
    <row r="440" spans="1:63" ht="14.25" customHeight="1" x14ac:dyDescent="0.25">
      <c r="A440" s="9"/>
      <c r="B440" s="2"/>
      <c r="C440" s="2"/>
      <c r="D440" s="9"/>
      <c r="E440" s="9"/>
      <c r="F440" s="9"/>
      <c r="G440" s="9"/>
      <c r="H440" s="9"/>
      <c r="I440" s="8"/>
      <c r="J440" s="8"/>
      <c r="K440" s="8"/>
      <c r="L440" s="8"/>
      <c r="M440" s="8"/>
      <c r="N440" s="8"/>
      <c r="O440" s="8"/>
      <c r="P440" s="9"/>
      <c r="Q440" s="9"/>
      <c r="R440" s="9"/>
      <c r="S440" s="8"/>
      <c r="T440" s="8"/>
      <c r="U440" s="8"/>
      <c r="V440" s="8"/>
      <c r="W440" s="8"/>
      <c r="X440" s="8"/>
      <c r="Y440" s="8"/>
      <c r="Z440" s="194"/>
      <c r="AA440" s="194"/>
      <c r="AB440" s="194"/>
      <c r="AC440" s="11"/>
      <c r="AD440" s="11"/>
      <c r="AE440" s="11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3"/>
      <c r="AY440" s="13"/>
      <c r="AZ440" s="13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</row>
    <row r="441" spans="1:63" ht="14.25" customHeight="1" x14ac:dyDescent="0.25">
      <c r="A441" s="9"/>
      <c r="B441" s="2"/>
      <c r="C441" s="2"/>
      <c r="D441" s="9"/>
      <c r="E441" s="9"/>
      <c r="F441" s="9"/>
      <c r="G441" s="9"/>
      <c r="H441" s="9"/>
      <c r="I441" s="8"/>
      <c r="J441" s="8"/>
      <c r="K441" s="8"/>
      <c r="L441" s="8"/>
      <c r="M441" s="8"/>
      <c r="N441" s="8"/>
      <c r="O441" s="8"/>
      <c r="P441" s="9"/>
      <c r="Q441" s="9"/>
      <c r="R441" s="9"/>
      <c r="S441" s="8"/>
      <c r="T441" s="8"/>
      <c r="U441" s="8"/>
      <c r="V441" s="8"/>
      <c r="W441" s="8"/>
      <c r="X441" s="8"/>
      <c r="Y441" s="8"/>
      <c r="Z441" s="194"/>
      <c r="AA441" s="194"/>
      <c r="AB441" s="194"/>
      <c r="AC441" s="11"/>
      <c r="AD441" s="11"/>
      <c r="AE441" s="11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3"/>
      <c r="AY441" s="13"/>
      <c r="AZ441" s="13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</row>
    <row r="442" spans="1:63" ht="14.25" customHeight="1" x14ac:dyDescent="0.25">
      <c r="A442" s="9"/>
      <c r="B442" s="2"/>
      <c r="C442" s="2"/>
      <c r="D442" s="9"/>
      <c r="E442" s="9"/>
      <c r="F442" s="9"/>
      <c r="G442" s="9"/>
      <c r="H442" s="9"/>
      <c r="I442" s="8"/>
      <c r="J442" s="8"/>
      <c r="K442" s="8"/>
      <c r="L442" s="8"/>
      <c r="M442" s="8"/>
      <c r="N442" s="8"/>
      <c r="O442" s="8"/>
      <c r="P442" s="9"/>
      <c r="Q442" s="9"/>
      <c r="R442" s="9"/>
      <c r="S442" s="8"/>
      <c r="T442" s="8"/>
      <c r="U442" s="8"/>
      <c r="V442" s="8"/>
      <c r="W442" s="8"/>
      <c r="X442" s="8"/>
      <c r="Y442" s="8"/>
      <c r="Z442" s="194"/>
      <c r="AA442" s="194"/>
      <c r="AB442" s="194"/>
      <c r="AC442" s="11"/>
      <c r="AD442" s="11"/>
      <c r="AE442" s="11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3"/>
      <c r="AY442" s="13"/>
      <c r="AZ442" s="13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</row>
    <row r="443" spans="1:63" ht="14.25" customHeight="1" x14ac:dyDescent="0.25">
      <c r="A443" s="9"/>
      <c r="B443" s="2"/>
      <c r="C443" s="2"/>
      <c r="D443" s="9"/>
      <c r="E443" s="9"/>
      <c r="F443" s="9"/>
      <c r="G443" s="9"/>
      <c r="H443" s="9"/>
      <c r="I443" s="8"/>
      <c r="J443" s="8"/>
      <c r="K443" s="8"/>
      <c r="L443" s="8"/>
      <c r="M443" s="8"/>
      <c r="N443" s="8"/>
      <c r="O443" s="8"/>
      <c r="P443" s="9"/>
      <c r="Q443" s="9"/>
      <c r="R443" s="9"/>
      <c r="S443" s="8"/>
      <c r="T443" s="8"/>
      <c r="U443" s="8"/>
      <c r="V443" s="8"/>
      <c r="W443" s="8"/>
      <c r="X443" s="8"/>
      <c r="Y443" s="8"/>
      <c r="Z443" s="194"/>
      <c r="AA443" s="194"/>
      <c r="AB443" s="194"/>
      <c r="AC443" s="11"/>
      <c r="AD443" s="11"/>
      <c r="AE443" s="11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3"/>
      <c r="AY443" s="13"/>
      <c r="AZ443" s="13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</row>
    <row r="444" spans="1:63" ht="14.25" customHeight="1" x14ac:dyDescent="0.25">
      <c r="A444" s="9"/>
      <c r="B444" s="2"/>
      <c r="C444" s="2"/>
      <c r="D444" s="9"/>
      <c r="E444" s="9"/>
      <c r="F444" s="9"/>
      <c r="G444" s="9"/>
      <c r="H444" s="9"/>
      <c r="I444" s="8"/>
      <c r="J444" s="8"/>
      <c r="K444" s="8"/>
      <c r="L444" s="8"/>
      <c r="M444" s="8"/>
      <c r="N444" s="8"/>
      <c r="O444" s="8"/>
      <c r="P444" s="9"/>
      <c r="Q444" s="9"/>
      <c r="R444" s="9"/>
      <c r="S444" s="8"/>
      <c r="T444" s="8"/>
      <c r="U444" s="8"/>
      <c r="V444" s="8"/>
      <c r="W444" s="8"/>
      <c r="X444" s="8"/>
      <c r="Y444" s="8"/>
      <c r="Z444" s="194"/>
      <c r="AA444" s="194"/>
      <c r="AB444" s="194"/>
      <c r="AC444" s="11"/>
      <c r="AD444" s="11"/>
      <c r="AE444" s="11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3"/>
      <c r="AY444" s="13"/>
      <c r="AZ444" s="13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</row>
    <row r="445" spans="1:63" ht="14.25" customHeight="1" x14ac:dyDescent="0.25">
      <c r="A445" s="9"/>
      <c r="B445" s="2"/>
      <c r="C445" s="2"/>
      <c r="D445" s="9"/>
      <c r="E445" s="9"/>
      <c r="F445" s="9"/>
      <c r="G445" s="9"/>
      <c r="H445" s="9"/>
      <c r="I445" s="8"/>
      <c r="J445" s="8"/>
      <c r="K445" s="8"/>
      <c r="L445" s="8"/>
      <c r="M445" s="8"/>
      <c r="N445" s="8"/>
      <c r="O445" s="8"/>
      <c r="P445" s="9"/>
      <c r="Q445" s="9"/>
      <c r="R445" s="9"/>
      <c r="S445" s="8"/>
      <c r="T445" s="8"/>
      <c r="U445" s="8"/>
      <c r="V445" s="8"/>
      <c r="W445" s="8"/>
      <c r="X445" s="8"/>
      <c r="Y445" s="8"/>
      <c r="Z445" s="194"/>
      <c r="AA445" s="194"/>
      <c r="AB445" s="194"/>
      <c r="AC445" s="11"/>
      <c r="AD445" s="11"/>
      <c r="AE445" s="11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3"/>
      <c r="AY445" s="13"/>
      <c r="AZ445" s="13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</row>
    <row r="446" spans="1:63" ht="14.25" customHeight="1" x14ac:dyDescent="0.25">
      <c r="A446" s="9"/>
      <c r="B446" s="2"/>
      <c r="C446" s="2"/>
      <c r="D446" s="9"/>
      <c r="E446" s="9"/>
      <c r="F446" s="9"/>
      <c r="G446" s="9"/>
      <c r="H446" s="9"/>
      <c r="I446" s="8"/>
      <c r="J446" s="8"/>
      <c r="K446" s="8"/>
      <c r="L446" s="8"/>
      <c r="M446" s="8"/>
      <c r="N446" s="8"/>
      <c r="O446" s="8"/>
      <c r="P446" s="9"/>
      <c r="Q446" s="9"/>
      <c r="R446" s="9"/>
      <c r="S446" s="8"/>
      <c r="T446" s="8"/>
      <c r="U446" s="8"/>
      <c r="V446" s="8"/>
      <c r="W446" s="8"/>
      <c r="X446" s="8"/>
      <c r="Y446" s="8"/>
      <c r="Z446" s="194"/>
      <c r="AA446" s="194"/>
      <c r="AB446" s="194"/>
      <c r="AC446" s="11"/>
      <c r="AD446" s="11"/>
      <c r="AE446" s="11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3"/>
      <c r="AY446" s="13"/>
      <c r="AZ446" s="13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</row>
    <row r="447" spans="1:63" ht="14.25" customHeight="1" x14ac:dyDescent="0.25">
      <c r="A447" s="9"/>
      <c r="B447" s="2"/>
      <c r="C447" s="2"/>
      <c r="D447" s="9"/>
      <c r="E447" s="9"/>
      <c r="F447" s="9"/>
      <c r="G447" s="9"/>
      <c r="H447" s="9"/>
      <c r="I447" s="8"/>
      <c r="J447" s="8"/>
      <c r="K447" s="8"/>
      <c r="L447" s="8"/>
      <c r="M447" s="8"/>
      <c r="N447" s="8"/>
      <c r="O447" s="8"/>
      <c r="P447" s="9"/>
      <c r="Q447" s="9"/>
      <c r="R447" s="9"/>
      <c r="S447" s="8"/>
      <c r="T447" s="8"/>
      <c r="U447" s="8"/>
      <c r="V447" s="8"/>
      <c r="W447" s="8"/>
      <c r="X447" s="8"/>
      <c r="Y447" s="8"/>
      <c r="Z447" s="194"/>
      <c r="AA447" s="194"/>
      <c r="AB447" s="194"/>
      <c r="AC447" s="11"/>
      <c r="AD447" s="11"/>
      <c r="AE447" s="11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3"/>
      <c r="AY447" s="13"/>
      <c r="AZ447" s="13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</row>
    <row r="448" spans="1:63" ht="14.25" customHeight="1" x14ac:dyDescent="0.25">
      <c r="A448" s="9"/>
      <c r="B448" s="2"/>
      <c r="C448" s="2"/>
      <c r="D448" s="9"/>
      <c r="E448" s="9"/>
      <c r="F448" s="9"/>
      <c r="G448" s="9"/>
      <c r="H448" s="9"/>
      <c r="I448" s="8"/>
      <c r="J448" s="8"/>
      <c r="K448" s="8"/>
      <c r="L448" s="8"/>
      <c r="M448" s="8"/>
      <c r="N448" s="8"/>
      <c r="O448" s="8"/>
      <c r="P448" s="9"/>
      <c r="Q448" s="9"/>
      <c r="R448" s="9"/>
      <c r="S448" s="8"/>
      <c r="T448" s="8"/>
      <c r="U448" s="8"/>
      <c r="V448" s="8"/>
      <c r="W448" s="8"/>
      <c r="X448" s="8"/>
      <c r="Y448" s="8"/>
      <c r="Z448" s="194"/>
      <c r="AA448" s="194"/>
      <c r="AB448" s="194"/>
      <c r="AC448" s="11"/>
      <c r="AD448" s="11"/>
      <c r="AE448" s="11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3"/>
      <c r="AY448" s="13"/>
      <c r="AZ448" s="13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</row>
    <row r="449" spans="1:63" ht="14.25" customHeight="1" x14ac:dyDescent="0.25">
      <c r="A449" s="9"/>
      <c r="B449" s="2"/>
      <c r="C449" s="2"/>
      <c r="D449" s="9"/>
      <c r="E449" s="9"/>
      <c r="F449" s="9"/>
      <c r="G449" s="9"/>
      <c r="H449" s="9"/>
      <c r="I449" s="8"/>
      <c r="J449" s="8"/>
      <c r="K449" s="8"/>
      <c r="L449" s="8"/>
      <c r="M449" s="8"/>
      <c r="N449" s="8"/>
      <c r="O449" s="8"/>
      <c r="P449" s="9"/>
      <c r="Q449" s="9"/>
      <c r="R449" s="9"/>
      <c r="S449" s="8"/>
      <c r="T449" s="8"/>
      <c r="U449" s="8"/>
      <c r="V449" s="8"/>
      <c r="W449" s="8"/>
      <c r="X449" s="8"/>
      <c r="Y449" s="8"/>
      <c r="Z449" s="194"/>
      <c r="AA449" s="194"/>
      <c r="AB449" s="194"/>
      <c r="AC449" s="11"/>
      <c r="AD449" s="11"/>
      <c r="AE449" s="11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3"/>
      <c r="AY449" s="13"/>
      <c r="AZ449" s="13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</row>
    <row r="450" spans="1:63" ht="14.25" customHeight="1" x14ac:dyDescent="0.25">
      <c r="A450" s="9"/>
      <c r="B450" s="2"/>
      <c r="C450" s="2"/>
      <c r="D450" s="9"/>
      <c r="E450" s="9"/>
      <c r="F450" s="9"/>
      <c r="G450" s="9"/>
      <c r="H450" s="9"/>
      <c r="I450" s="8"/>
      <c r="J450" s="8"/>
      <c r="K450" s="8"/>
      <c r="L450" s="8"/>
      <c r="M450" s="8"/>
      <c r="N450" s="8"/>
      <c r="O450" s="8"/>
      <c r="P450" s="9"/>
      <c r="Q450" s="9"/>
      <c r="R450" s="9"/>
      <c r="S450" s="8"/>
      <c r="T450" s="8"/>
      <c r="U450" s="8"/>
      <c r="V450" s="8"/>
      <c r="W450" s="8"/>
      <c r="X450" s="8"/>
      <c r="Y450" s="8"/>
      <c r="Z450" s="194"/>
      <c r="AA450" s="194"/>
      <c r="AB450" s="194"/>
      <c r="AC450" s="11"/>
      <c r="AD450" s="11"/>
      <c r="AE450" s="11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3"/>
      <c r="AY450" s="13"/>
      <c r="AZ450" s="13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</row>
    <row r="451" spans="1:63" ht="14.25" customHeight="1" x14ac:dyDescent="0.25">
      <c r="A451" s="9"/>
      <c r="B451" s="2"/>
      <c r="C451" s="2"/>
      <c r="D451" s="9"/>
      <c r="E451" s="9"/>
      <c r="F451" s="9"/>
      <c r="G451" s="9"/>
      <c r="H451" s="9"/>
      <c r="I451" s="8"/>
      <c r="J451" s="8"/>
      <c r="K451" s="8"/>
      <c r="L451" s="8"/>
      <c r="M451" s="8"/>
      <c r="N451" s="8"/>
      <c r="O451" s="8"/>
      <c r="P451" s="9"/>
      <c r="Q451" s="9"/>
      <c r="R451" s="9"/>
      <c r="S451" s="8"/>
      <c r="T451" s="8"/>
      <c r="U451" s="8"/>
      <c r="V451" s="8"/>
      <c r="W451" s="8"/>
      <c r="X451" s="8"/>
      <c r="Y451" s="8"/>
      <c r="Z451" s="194"/>
      <c r="AA451" s="194"/>
      <c r="AB451" s="194"/>
      <c r="AC451" s="11"/>
      <c r="AD451" s="11"/>
      <c r="AE451" s="11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3"/>
      <c r="AY451" s="13"/>
      <c r="AZ451" s="13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</row>
    <row r="452" spans="1:63" ht="14.25" customHeight="1" x14ac:dyDescent="0.25">
      <c r="A452" s="9"/>
      <c r="B452" s="2"/>
      <c r="C452" s="2"/>
      <c r="D452" s="9"/>
      <c r="E452" s="9"/>
      <c r="F452" s="9"/>
      <c r="G452" s="9"/>
      <c r="H452" s="9"/>
      <c r="I452" s="8"/>
      <c r="J452" s="8"/>
      <c r="K452" s="8"/>
      <c r="L452" s="8"/>
      <c r="M452" s="8"/>
      <c r="N452" s="8"/>
      <c r="O452" s="8"/>
      <c r="P452" s="9"/>
      <c r="Q452" s="9"/>
      <c r="R452" s="9"/>
      <c r="S452" s="8"/>
      <c r="T452" s="8"/>
      <c r="U452" s="8"/>
      <c r="V452" s="8"/>
      <c r="W452" s="8"/>
      <c r="X452" s="8"/>
      <c r="Y452" s="8"/>
      <c r="Z452" s="194"/>
      <c r="AA452" s="194"/>
      <c r="AB452" s="194"/>
      <c r="AC452" s="11"/>
      <c r="AD452" s="11"/>
      <c r="AE452" s="11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3"/>
      <c r="AY452" s="13"/>
      <c r="AZ452" s="13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</row>
    <row r="453" spans="1:63" ht="14.25" customHeight="1" x14ac:dyDescent="0.25">
      <c r="A453" s="9"/>
      <c r="B453" s="2"/>
      <c r="C453" s="2"/>
      <c r="D453" s="9"/>
      <c r="E453" s="9"/>
      <c r="F453" s="9"/>
      <c r="G453" s="9"/>
      <c r="H453" s="9"/>
      <c r="I453" s="8"/>
      <c r="J453" s="8"/>
      <c r="K453" s="8"/>
      <c r="L453" s="8"/>
      <c r="M453" s="8"/>
      <c r="N453" s="8"/>
      <c r="O453" s="8"/>
      <c r="P453" s="9"/>
      <c r="Q453" s="9"/>
      <c r="R453" s="9"/>
      <c r="S453" s="8"/>
      <c r="T453" s="8"/>
      <c r="U453" s="8"/>
      <c r="V453" s="8"/>
      <c r="W453" s="8"/>
      <c r="X453" s="8"/>
      <c r="Y453" s="8"/>
      <c r="Z453" s="194"/>
      <c r="AA453" s="194"/>
      <c r="AB453" s="194"/>
      <c r="AC453" s="11"/>
      <c r="AD453" s="11"/>
      <c r="AE453" s="11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3"/>
      <c r="AY453" s="13"/>
      <c r="AZ453" s="13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</row>
    <row r="454" spans="1:63" ht="14.25" customHeight="1" x14ac:dyDescent="0.25">
      <c r="A454" s="9"/>
      <c r="B454" s="2"/>
      <c r="C454" s="2"/>
      <c r="D454" s="9"/>
      <c r="E454" s="9"/>
      <c r="F454" s="9"/>
      <c r="G454" s="9"/>
      <c r="H454" s="9"/>
      <c r="I454" s="8"/>
      <c r="J454" s="8"/>
      <c r="K454" s="8"/>
      <c r="L454" s="8"/>
      <c r="M454" s="8"/>
      <c r="N454" s="8"/>
      <c r="O454" s="8"/>
      <c r="P454" s="9"/>
      <c r="Q454" s="9"/>
      <c r="R454" s="9"/>
      <c r="S454" s="8"/>
      <c r="T454" s="8"/>
      <c r="U454" s="8"/>
      <c r="V454" s="8"/>
      <c r="W454" s="8"/>
      <c r="X454" s="8"/>
      <c r="Y454" s="8"/>
      <c r="Z454" s="194"/>
      <c r="AA454" s="194"/>
      <c r="AB454" s="194"/>
      <c r="AC454" s="11"/>
      <c r="AD454" s="11"/>
      <c r="AE454" s="11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3"/>
      <c r="AY454" s="13"/>
      <c r="AZ454" s="13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</row>
    <row r="455" spans="1:63" ht="14.25" customHeight="1" x14ac:dyDescent="0.25">
      <c r="A455" s="9"/>
      <c r="B455" s="2"/>
      <c r="C455" s="2"/>
      <c r="D455" s="9"/>
      <c r="E455" s="9"/>
      <c r="F455" s="9"/>
      <c r="G455" s="9"/>
      <c r="H455" s="9"/>
      <c r="I455" s="8"/>
      <c r="J455" s="8"/>
      <c r="K455" s="8"/>
      <c r="L455" s="8"/>
      <c r="M455" s="8"/>
      <c r="N455" s="8"/>
      <c r="O455" s="8"/>
      <c r="P455" s="9"/>
      <c r="Q455" s="9"/>
      <c r="R455" s="9"/>
      <c r="S455" s="8"/>
      <c r="T455" s="8"/>
      <c r="U455" s="8"/>
      <c r="V455" s="8"/>
      <c r="W455" s="8"/>
      <c r="X455" s="8"/>
      <c r="Y455" s="8"/>
      <c r="Z455" s="194"/>
      <c r="AA455" s="194"/>
      <c r="AB455" s="194"/>
      <c r="AC455" s="11"/>
      <c r="AD455" s="11"/>
      <c r="AE455" s="11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3"/>
      <c r="AY455" s="13"/>
      <c r="AZ455" s="13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</row>
    <row r="456" spans="1:63" ht="14.25" customHeight="1" x14ac:dyDescent="0.25">
      <c r="A456" s="9"/>
      <c r="B456" s="2"/>
      <c r="C456" s="2"/>
      <c r="D456" s="9"/>
      <c r="E456" s="9"/>
      <c r="F456" s="9"/>
      <c r="G456" s="9"/>
      <c r="H456" s="9"/>
      <c r="I456" s="8"/>
      <c r="J456" s="8"/>
      <c r="K456" s="8"/>
      <c r="L456" s="8"/>
      <c r="M456" s="8"/>
      <c r="N456" s="8"/>
      <c r="O456" s="8"/>
      <c r="P456" s="9"/>
      <c r="Q456" s="9"/>
      <c r="R456" s="9"/>
      <c r="S456" s="8"/>
      <c r="T456" s="8"/>
      <c r="U456" s="8"/>
      <c r="V456" s="8"/>
      <c r="W456" s="8"/>
      <c r="X456" s="8"/>
      <c r="Y456" s="8"/>
      <c r="Z456" s="194"/>
      <c r="AA456" s="194"/>
      <c r="AB456" s="194"/>
      <c r="AC456" s="11"/>
      <c r="AD456" s="11"/>
      <c r="AE456" s="11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3"/>
      <c r="AY456" s="13"/>
      <c r="AZ456" s="13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</row>
    <row r="457" spans="1:63" ht="14.25" customHeight="1" x14ac:dyDescent="0.25">
      <c r="A457" s="9"/>
      <c r="B457" s="2"/>
      <c r="C457" s="2"/>
      <c r="D457" s="9"/>
      <c r="E457" s="9"/>
      <c r="F457" s="9"/>
      <c r="G457" s="9"/>
      <c r="H457" s="9"/>
      <c r="I457" s="8"/>
      <c r="J457" s="8"/>
      <c r="K457" s="8"/>
      <c r="L457" s="8"/>
      <c r="M457" s="8"/>
      <c r="N457" s="8"/>
      <c r="O457" s="8"/>
      <c r="P457" s="9"/>
      <c r="Q457" s="9"/>
      <c r="R457" s="9"/>
      <c r="S457" s="8"/>
      <c r="T457" s="8"/>
      <c r="U457" s="8"/>
      <c r="V457" s="8"/>
      <c r="W457" s="8"/>
      <c r="X457" s="8"/>
      <c r="Y457" s="8"/>
      <c r="Z457" s="194"/>
      <c r="AA457" s="194"/>
      <c r="AB457" s="194"/>
      <c r="AC457" s="11"/>
      <c r="AD457" s="11"/>
      <c r="AE457" s="11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3"/>
      <c r="AY457" s="13"/>
      <c r="AZ457" s="13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</row>
    <row r="458" spans="1:63" ht="14.25" customHeight="1" x14ac:dyDescent="0.25">
      <c r="A458" s="9"/>
      <c r="B458" s="2"/>
      <c r="C458" s="2"/>
      <c r="D458" s="9"/>
      <c r="E458" s="9"/>
      <c r="F458" s="9"/>
      <c r="G458" s="9"/>
      <c r="H458" s="9"/>
      <c r="I458" s="8"/>
      <c r="J458" s="8"/>
      <c r="K458" s="8"/>
      <c r="L458" s="8"/>
      <c r="M458" s="8"/>
      <c r="N458" s="8"/>
      <c r="O458" s="8"/>
      <c r="P458" s="9"/>
      <c r="Q458" s="9"/>
      <c r="R458" s="9"/>
      <c r="S458" s="8"/>
      <c r="T458" s="8"/>
      <c r="U458" s="8"/>
      <c r="V458" s="8"/>
      <c r="W458" s="8"/>
      <c r="X458" s="8"/>
      <c r="Y458" s="8"/>
      <c r="Z458" s="194"/>
      <c r="AA458" s="194"/>
      <c r="AB458" s="194"/>
      <c r="AC458" s="11"/>
      <c r="AD458" s="11"/>
      <c r="AE458" s="11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3"/>
      <c r="AY458" s="13"/>
      <c r="AZ458" s="13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</row>
    <row r="459" spans="1:63" ht="14.25" customHeight="1" x14ac:dyDescent="0.25">
      <c r="A459" s="9"/>
      <c r="B459" s="2"/>
      <c r="C459" s="2"/>
      <c r="D459" s="9"/>
      <c r="E459" s="9"/>
      <c r="F459" s="9"/>
      <c r="G459" s="9"/>
      <c r="H459" s="9"/>
      <c r="I459" s="8"/>
      <c r="J459" s="8"/>
      <c r="K459" s="8"/>
      <c r="L459" s="8"/>
      <c r="M459" s="8"/>
      <c r="N459" s="8"/>
      <c r="O459" s="8"/>
      <c r="P459" s="9"/>
      <c r="Q459" s="9"/>
      <c r="R459" s="9"/>
      <c r="S459" s="8"/>
      <c r="T459" s="8"/>
      <c r="U459" s="8"/>
      <c r="V459" s="8"/>
      <c r="W459" s="8"/>
      <c r="X459" s="8"/>
      <c r="Y459" s="8"/>
      <c r="Z459" s="194"/>
      <c r="AA459" s="194"/>
      <c r="AB459" s="194"/>
      <c r="AC459" s="11"/>
      <c r="AD459" s="11"/>
      <c r="AE459" s="11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3"/>
      <c r="AY459" s="13"/>
      <c r="AZ459" s="13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</row>
    <row r="460" spans="1:63" ht="14.25" customHeight="1" x14ac:dyDescent="0.25">
      <c r="A460" s="9"/>
      <c r="B460" s="2"/>
      <c r="C460" s="2"/>
      <c r="D460" s="9"/>
      <c r="E460" s="9"/>
      <c r="F460" s="9"/>
      <c r="G460" s="9"/>
      <c r="H460" s="9"/>
      <c r="I460" s="8"/>
      <c r="J460" s="8"/>
      <c r="K460" s="8"/>
      <c r="L460" s="8"/>
      <c r="M460" s="8"/>
      <c r="N460" s="8"/>
      <c r="O460" s="8"/>
      <c r="P460" s="9"/>
      <c r="Q460" s="9"/>
      <c r="R460" s="9"/>
      <c r="S460" s="8"/>
      <c r="T460" s="8"/>
      <c r="U460" s="8"/>
      <c r="V460" s="8"/>
      <c r="W460" s="8"/>
      <c r="X460" s="8"/>
      <c r="Y460" s="8"/>
      <c r="Z460" s="194"/>
      <c r="AA460" s="194"/>
      <c r="AB460" s="194"/>
      <c r="AC460" s="11"/>
      <c r="AD460" s="11"/>
      <c r="AE460" s="11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3"/>
      <c r="AY460" s="13"/>
      <c r="AZ460" s="13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</row>
    <row r="461" spans="1:63" ht="14.25" customHeight="1" x14ac:dyDescent="0.25">
      <c r="A461" s="9"/>
      <c r="B461" s="2"/>
      <c r="C461" s="2"/>
      <c r="D461" s="9"/>
      <c r="E461" s="9"/>
      <c r="F461" s="9"/>
      <c r="G461" s="9"/>
      <c r="H461" s="9"/>
      <c r="I461" s="8"/>
      <c r="J461" s="8"/>
      <c r="K461" s="8"/>
      <c r="L461" s="8"/>
      <c r="M461" s="8"/>
      <c r="N461" s="8"/>
      <c r="O461" s="8"/>
      <c r="P461" s="9"/>
      <c r="Q461" s="9"/>
      <c r="R461" s="9"/>
      <c r="S461" s="8"/>
      <c r="T461" s="8"/>
      <c r="U461" s="8"/>
      <c r="V461" s="8"/>
      <c r="W461" s="8"/>
      <c r="X461" s="8"/>
      <c r="Y461" s="8"/>
      <c r="Z461" s="194"/>
      <c r="AA461" s="194"/>
      <c r="AB461" s="194"/>
      <c r="AC461" s="11"/>
      <c r="AD461" s="11"/>
      <c r="AE461" s="11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3"/>
      <c r="AY461" s="13"/>
      <c r="AZ461" s="13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</row>
    <row r="462" spans="1:63" ht="14.25" customHeight="1" x14ac:dyDescent="0.25">
      <c r="A462" s="9"/>
      <c r="B462" s="2"/>
      <c r="C462" s="2"/>
      <c r="D462" s="9"/>
      <c r="E462" s="9"/>
      <c r="F462" s="9"/>
      <c r="G462" s="9"/>
      <c r="H462" s="9"/>
      <c r="I462" s="8"/>
      <c r="J462" s="8"/>
      <c r="K462" s="8"/>
      <c r="L462" s="8"/>
      <c r="M462" s="8"/>
      <c r="N462" s="8"/>
      <c r="O462" s="8"/>
      <c r="P462" s="9"/>
      <c r="Q462" s="9"/>
      <c r="R462" s="9"/>
      <c r="S462" s="8"/>
      <c r="T462" s="8"/>
      <c r="U462" s="8"/>
      <c r="V462" s="8"/>
      <c r="W462" s="8"/>
      <c r="X462" s="8"/>
      <c r="Y462" s="8"/>
      <c r="Z462" s="194"/>
      <c r="AA462" s="194"/>
      <c r="AB462" s="194"/>
      <c r="AC462" s="11"/>
      <c r="AD462" s="11"/>
      <c r="AE462" s="11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3"/>
      <c r="AY462" s="13"/>
      <c r="AZ462" s="13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</row>
    <row r="463" spans="1:63" ht="14.25" customHeight="1" x14ac:dyDescent="0.25">
      <c r="A463" s="9"/>
      <c r="B463" s="2"/>
      <c r="C463" s="2"/>
      <c r="D463" s="9"/>
      <c r="E463" s="9"/>
      <c r="F463" s="9"/>
      <c r="G463" s="9"/>
      <c r="H463" s="9"/>
      <c r="I463" s="8"/>
      <c r="J463" s="8"/>
      <c r="K463" s="8"/>
      <c r="L463" s="8"/>
      <c r="M463" s="8"/>
      <c r="N463" s="8"/>
      <c r="O463" s="8"/>
      <c r="P463" s="9"/>
      <c r="Q463" s="9"/>
      <c r="R463" s="9"/>
      <c r="S463" s="8"/>
      <c r="T463" s="8"/>
      <c r="U463" s="8"/>
      <c r="V463" s="8"/>
      <c r="W463" s="8"/>
      <c r="X463" s="8"/>
      <c r="Y463" s="8"/>
      <c r="Z463" s="194"/>
      <c r="AA463" s="194"/>
      <c r="AB463" s="194"/>
      <c r="AC463" s="11"/>
      <c r="AD463" s="11"/>
      <c r="AE463" s="11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3"/>
      <c r="AY463" s="13"/>
      <c r="AZ463" s="13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</row>
    <row r="464" spans="1:63" ht="14.25" customHeight="1" x14ac:dyDescent="0.25">
      <c r="A464" s="9"/>
      <c r="B464" s="2"/>
      <c r="C464" s="2"/>
      <c r="D464" s="9"/>
      <c r="E464" s="9"/>
      <c r="F464" s="9"/>
      <c r="G464" s="9"/>
      <c r="H464" s="9"/>
      <c r="I464" s="8"/>
      <c r="J464" s="8"/>
      <c r="K464" s="8"/>
      <c r="L464" s="8"/>
      <c r="M464" s="8"/>
      <c r="N464" s="8"/>
      <c r="O464" s="8"/>
      <c r="P464" s="9"/>
      <c r="Q464" s="9"/>
      <c r="R464" s="9"/>
      <c r="S464" s="8"/>
      <c r="T464" s="8"/>
      <c r="U464" s="8"/>
      <c r="V464" s="8"/>
      <c r="W464" s="8"/>
      <c r="X464" s="8"/>
      <c r="Y464" s="8"/>
      <c r="Z464" s="194"/>
      <c r="AA464" s="194"/>
      <c r="AB464" s="194"/>
      <c r="AC464" s="11"/>
      <c r="AD464" s="11"/>
      <c r="AE464" s="11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3"/>
      <c r="AY464" s="13"/>
      <c r="AZ464" s="13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</row>
    <row r="465" spans="1:63" ht="14.25" customHeight="1" x14ac:dyDescent="0.25">
      <c r="A465" s="9"/>
      <c r="B465" s="2"/>
      <c r="C465" s="2"/>
      <c r="D465" s="9"/>
      <c r="E465" s="9"/>
      <c r="F465" s="9"/>
      <c r="G465" s="9"/>
      <c r="H465" s="9"/>
      <c r="I465" s="8"/>
      <c r="J465" s="8"/>
      <c r="K465" s="8"/>
      <c r="L465" s="8"/>
      <c r="M465" s="8"/>
      <c r="N465" s="8"/>
      <c r="O465" s="8"/>
      <c r="P465" s="9"/>
      <c r="Q465" s="9"/>
      <c r="R465" s="9"/>
      <c r="S465" s="8"/>
      <c r="T465" s="8"/>
      <c r="U465" s="8"/>
      <c r="V465" s="8"/>
      <c r="W465" s="8"/>
      <c r="X465" s="8"/>
      <c r="Y465" s="8"/>
      <c r="Z465" s="194"/>
      <c r="AA465" s="194"/>
      <c r="AB465" s="194"/>
      <c r="AC465" s="11"/>
      <c r="AD465" s="11"/>
      <c r="AE465" s="11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3"/>
      <c r="AY465" s="13"/>
      <c r="AZ465" s="13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</row>
    <row r="466" spans="1:63" ht="14.25" customHeight="1" x14ac:dyDescent="0.25">
      <c r="A466" s="9"/>
      <c r="B466" s="2"/>
      <c r="C466" s="2"/>
      <c r="D466" s="9"/>
      <c r="E466" s="9"/>
      <c r="F466" s="9"/>
      <c r="G466" s="9"/>
      <c r="H466" s="9"/>
      <c r="I466" s="8"/>
      <c r="J466" s="8"/>
      <c r="K466" s="8"/>
      <c r="L466" s="8"/>
      <c r="M466" s="8"/>
      <c r="N466" s="8"/>
      <c r="O466" s="8"/>
      <c r="P466" s="9"/>
      <c r="Q466" s="9"/>
      <c r="R466" s="9"/>
      <c r="S466" s="8"/>
      <c r="T466" s="8"/>
      <c r="U466" s="8"/>
      <c r="V466" s="8"/>
      <c r="W466" s="8"/>
      <c r="X466" s="8"/>
      <c r="Y466" s="8"/>
      <c r="Z466" s="194"/>
      <c r="AA466" s="194"/>
      <c r="AB466" s="194"/>
      <c r="AC466" s="11"/>
      <c r="AD466" s="11"/>
      <c r="AE466" s="11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3"/>
      <c r="AY466" s="13"/>
      <c r="AZ466" s="13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</row>
    <row r="467" spans="1:63" ht="14.25" customHeight="1" x14ac:dyDescent="0.25">
      <c r="A467" s="9"/>
      <c r="B467" s="2"/>
      <c r="C467" s="2"/>
      <c r="D467" s="9"/>
      <c r="E467" s="9"/>
      <c r="F467" s="9"/>
      <c r="G467" s="9"/>
      <c r="H467" s="9"/>
      <c r="I467" s="8"/>
      <c r="J467" s="8"/>
      <c r="K467" s="8"/>
      <c r="L467" s="8"/>
      <c r="M467" s="8"/>
      <c r="N467" s="8"/>
      <c r="O467" s="8"/>
      <c r="P467" s="9"/>
      <c r="Q467" s="9"/>
      <c r="R467" s="9"/>
      <c r="S467" s="8"/>
      <c r="T467" s="8"/>
      <c r="U467" s="8"/>
      <c r="V467" s="8"/>
      <c r="W467" s="8"/>
      <c r="X467" s="8"/>
      <c r="Y467" s="8"/>
      <c r="Z467" s="194"/>
      <c r="AA467" s="194"/>
      <c r="AB467" s="194"/>
      <c r="AC467" s="11"/>
      <c r="AD467" s="11"/>
      <c r="AE467" s="11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3"/>
      <c r="AY467" s="13"/>
      <c r="AZ467" s="13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</row>
    <row r="468" spans="1:63" ht="14.25" customHeight="1" x14ac:dyDescent="0.25">
      <c r="A468" s="9"/>
      <c r="B468" s="2"/>
      <c r="C468" s="2"/>
      <c r="D468" s="9"/>
      <c r="E468" s="9"/>
      <c r="F468" s="9"/>
      <c r="G468" s="9"/>
      <c r="H468" s="9"/>
      <c r="I468" s="8"/>
      <c r="J468" s="8"/>
      <c r="K468" s="8"/>
      <c r="L468" s="8"/>
      <c r="M468" s="8"/>
      <c r="N468" s="8"/>
      <c r="O468" s="8"/>
      <c r="P468" s="9"/>
      <c r="Q468" s="9"/>
      <c r="R468" s="9"/>
      <c r="S468" s="8"/>
      <c r="T468" s="8"/>
      <c r="U468" s="8"/>
      <c r="V468" s="8"/>
      <c r="W468" s="8"/>
      <c r="X468" s="8"/>
      <c r="Y468" s="8"/>
      <c r="Z468" s="194"/>
      <c r="AA468" s="194"/>
      <c r="AB468" s="194"/>
      <c r="AC468" s="11"/>
      <c r="AD468" s="11"/>
      <c r="AE468" s="11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3"/>
      <c r="AY468" s="13"/>
      <c r="AZ468" s="13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</row>
    <row r="469" spans="1:63" ht="14.25" customHeight="1" x14ac:dyDescent="0.25">
      <c r="A469" s="9"/>
      <c r="B469" s="2"/>
      <c r="C469" s="2"/>
      <c r="D469" s="9"/>
      <c r="E469" s="9"/>
      <c r="F469" s="9"/>
      <c r="G469" s="9"/>
      <c r="H469" s="9"/>
      <c r="I469" s="8"/>
      <c r="J469" s="8"/>
      <c r="K469" s="8"/>
      <c r="L469" s="8"/>
      <c r="M469" s="8"/>
      <c r="N469" s="8"/>
      <c r="O469" s="8"/>
      <c r="P469" s="9"/>
      <c r="Q469" s="9"/>
      <c r="R469" s="9"/>
      <c r="S469" s="8"/>
      <c r="T469" s="8"/>
      <c r="U469" s="8"/>
      <c r="V469" s="8"/>
      <c r="W469" s="8"/>
      <c r="X469" s="8"/>
      <c r="Y469" s="8"/>
      <c r="Z469" s="194"/>
      <c r="AA469" s="194"/>
      <c r="AB469" s="194"/>
      <c r="AC469" s="11"/>
      <c r="AD469" s="11"/>
      <c r="AE469" s="11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3"/>
      <c r="AY469" s="13"/>
      <c r="AZ469" s="13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</row>
    <row r="470" spans="1:63" ht="14.25" customHeight="1" x14ac:dyDescent="0.25">
      <c r="A470" s="9"/>
      <c r="B470" s="2"/>
      <c r="C470" s="2"/>
      <c r="D470" s="9"/>
      <c r="E470" s="9"/>
      <c r="F470" s="9"/>
      <c r="G470" s="9"/>
      <c r="H470" s="9"/>
      <c r="I470" s="8"/>
      <c r="J470" s="8"/>
      <c r="K470" s="8"/>
      <c r="L470" s="8"/>
      <c r="M470" s="8"/>
      <c r="N470" s="8"/>
      <c r="O470" s="8"/>
      <c r="P470" s="9"/>
      <c r="Q470" s="9"/>
      <c r="R470" s="9"/>
      <c r="S470" s="8"/>
      <c r="T470" s="8"/>
      <c r="U470" s="8"/>
      <c r="V470" s="8"/>
      <c r="W470" s="8"/>
      <c r="X470" s="8"/>
      <c r="Y470" s="8"/>
      <c r="Z470" s="194"/>
      <c r="AA470" s="194"/>
      <c r="AB470" s="194"/>
      <c r="AC470" s="11"/>
      <c r="AD470" s="11"/>
      <c r="AE470" s="11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3"/>
      <c r="AY470" s="13"/>
      <c r="AZ470" s="13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</row>
    <row r="471" spans="1:63" ht="14.25" customHeight="1" x14ac:dyDescent="0.25">
      <c r="A471" s="9"/>
      <c r="B471" s="2"/>
      <c r="C471" s="2"/>
      <c r="D471" s="9"/>
      <c r="E471" s="9"/>
      <c r="F471" s="9"/>
      <c r="G471" s="9"/>
      <c r="H471" s="9"/>
      <c r="I471" s="8"/>
      <c r="J471" s="8"/>
      <c r="K471" s="8"/>
      <c r="L471" s="8"/>
      <c r="M471" s="8"/>
      <c r="N471" s="8"/>
      <c r="O471" s="8"/>
      <c r="P471" s="9"/>
      <c r="Q471" s="9"/>
      <c r="R471" s="9"/>
      <c r="S471" s="8"/>
      <c r="T471" s="8"/>
      <c r="U471" s="8"/>
      <c r="V471" s="8"/>
      <c r="W471" s="8"/>
      <c r="X471" s="8"/>
      <c r="Y471" s="8"/>
      <c r="Z471" s="194"/>
      <c r="AA471" s="194"/>
      <c r="AB471" s="194"/>
      <c r="AC471" s="11"/>
      <c r="AD471" s="11"/>
      <c r="AE471" s="11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3"/>
      <c r="AY471" s="13"/>
      <c r="AZ471" s="13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</row>
    <row r="472" spans="1:63" ht="14.25" customHeight="1" x14ac:dyDescent="0.25">
      <c r="A472" s="9"/>
      <c r="B472" s="2"/>
      <c r="C472" s="2"/>
      <c r="D472" s="9"/>
      <c r="E472" s="9"/>
      <c r="F472" s="9"/>
      <c r="G472" s="9"/>
      <c r="H472" s="9"/>
      <c r="I472" s="8"/>
      <c r="J472" s="8"/>
      <c r="K472" s="8"/>
      <c r="L472" s="8"/>
      <c r="M472" s="8"/>
      <c r="N472" s="8"/>
      <c r="O472" s="8"/>
      <c r="P472" s="9"/>
      <c r="Q472" s="9"/>
      <c r="R472" s="9"/>
      <c r="S472" s="8"/>
      <c r="T472" s="8"/>
      <c r="U472" s="8"/>
      <c r="V472" s="8"/>
      <c r="W472" s="8"/>
      <c r="X472" s="8"/>
      <c r="Y472" s="8"/>
      <c r="Z472" s="194"/>
      <c r="AA472" s="194"/>
      <c r="AB472" s="194"/>
      <c r="AC472" s="11"/>
      <c r="AD472" s="11"/>
      <c r="AE472" s="11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3"/>
      <c r="AY472" s="13"/>
      <c r="AZ472" s="13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</row>
    <row r="473" spans="1:63" ht="14.25" customHeight="1" x14ac:dyDescent="0.25">
      <c r="A473" s="9"/>
      <c r="B473" s="2"/>
      <c r="C473" s="2"/>
      <c r="D473" s="9"/>
      <c r="E473" s="9"/>
      <c r="F473" s="9"/>
      <c r="G473" s="9"/>
      <c r="H473" s="9"/>
      <c r="I473" s="8"/>
      <c r="J473" s="8"/>
      <c r="K473" s="8"/>
      <c r="L473" s="8"/>
      <c r="M473" s="8"/>
      <c r="N473" s="8"/>
      <c r="O473" s="8"/>
      <c r="P473" s="9"/>
      <c r="Q473" s="9"/>
      <c r="R473" s="9"/>
      <c r="S473" s="8"/>
      <c r="T473" s="8"/>
      <c r="U473" s="8"/>
      <c r="V473" s="8"/>
      <c r="W473" s="8"/>
      <c r="X473" s="8"/>
      <c r="Y473" s="8"/>
      <c r="Z473" s="194"/>
      <c r="AA473" s="194"/>
      <c r="AB473" s="194"/>
      <c r="AC473" s="11"/>
      <c r="AD473" s="11"/>
      <c r="AE473" s="11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3"/>
      <c r="AY473" s="13"/>
      <c r="AZ473" s="13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</row>
    <row r="474" spans="1:63" ht="14.25" customHeight="1" x14ac:dyDescent="0.25">
      <c r="A474" s="9"/>
      <c r="B474" s="2"/>
      <c r="C474" s="2"/>
      <c r="D474" s="9"/>
      <c r="E474" s="9"/>
      <c r="F474" s="9"/>
      <c r="G474" s="9"/>
      <c r="H474" s="9"/>
      <c r="I474" s="8"/>
      <c r="J474" s="8"/>
      <c r="K474" s="8"/>
      <c r="L474" s="8"/>
      <c r="M474" s="8"/>
      <c r="N474" s="8"/>
      <c r="O474" s="8"/>
      <c r="P474" s="9"/>
      <c r="Q474" s="9"/>
      <c r="R474" s="9"/>
      <c r="S474" s="8"/>
      <c r="T474" s="8"/>
      <c r="U474" s="8"/>
      <c r="V474" s="8"/>
      <c r="W474" s="8"/>
      <c r="X474" s="8"/>
      <c r="Y474" s="8"/>
      <c r="Z474" s="194"/>
      <c r="AA474" s="194"/>
      <c r="AB474" s="194"/>
      <c r="AC474" s="11"/>
      <c r="AD474" s="11"/>
      <c r="AE474" s="11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3"/>
      <c r="AY474" s="13"/>
      <c r="AZ474" s="13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</row>
    <row r="475" spans="1:63" ht="14.25" customHeight="1" x14ac:dyDescent="0.25">
      <c r="A475" s="9"/>
      <c r="B475" s="2"/>
      <c r="C475" s="2"/>
      <c r="D475" s="9"/>
      <c r="E475" s="9"/>
      <c r="F475" s="9"/>
      <c r="G475" s="9"/>
      <c r="H475" s="9"/>
      <c r="I475" s="8"/>
      <c r="J475" s="8"/>
      <c r="K475" s="8"/>
      <c r="L475" s="8"/>
      <c r="M475" s="8"/>
      <c r="N475" s="8"/>
      <c r="O475" s="8"/>
      <c r="P475" s="9"/>
      <c r="Q475" s="9"/>
      <c r="R475" s="9"/>
      <c r="S475" s="8"/>
      <c r="T475" s="8"/>
      <c r="U475" s="8"/>
      <c r="V475" s="8"/>
      <c r="W475" s="8"/>
      <c r="X475" s="8"/>
      <c r="Y475" s="8"/>
      <c r="Z475" s="194"/>
      <c r="AA475" s="194"/>
      <c r="AB475" s="194"/>
      <c r="AC475" s="11"/>
      <c r="AD475" s="11"/>
      <c r="AE475" s="11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3"/>
      <c r="AY475" s="13"/>
      <c r="AZ475" s="13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</row>
    <row r="476" spans="1:63" ht="14.25" customHeight="1" x14ac:dyDescent="0.25">
      <c r="A476" s="9"/>
      <c r="B476" s="2"/>
      <c r="C476" s="2"/>
      <c r="D476" s="9"/>
      <c r="E476" s="9"/>
      <c r="F476" s="9"/>
      <c r="G476" s="9"/>
      <c r="H476" s="9"/>
      <c r="I476" s="8"/>
      <c r="J476" s="8"/>
      <c r="K476" s="8"/>
      <c r="L476" s="8"/>
      <c r="M476" s="8"/>
      <c r="N476" s="8"/>
      <c r="O476" s="8"/>
      <c r="P476" s="9"/>
      <c r="Q476" s="9"/>
      <c r="R476" s="9"/>
      <c r="S476" s="8"/>
      <c r="T476" s="8"/>
      <c r="U476" s="8"/>
      <c r="V476" s="8"/>
      <c r="W476" s="8"/>
      <c r="X476" s="8"/>
      <c r="Y476" s="8"/>
      <c r="Z476" s="194"/>
      <c r="AA476" s="194"/>
      <c r="AB476" s="194"/>
      <c r="AC476" s="11"/>
      <c r="AD476" s="11"/>
      <c r="AE476" s="11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3"/>
      <c r="AY476" s="13"/>
      <c r="AZ476" s="13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</row>
    <row r="477" spans="1:63" ht="14.25" customHeight="1" x14ac:dyDescent="0.25">
      <c r="A477" s="9"/>
      <c r="B477" s="2"/>
      <c r="C477" s="2"/>
      <c r="D477" s="9"/>
      <c r="E477" s="9"/>
      <c r="F477" s="9"/>
      <c r="G477" s="9"/>
      <c r="H477" s="9"/>
      <c r="I477" s="8"/>
      <c r="J477" s="8"/>
      <c r="K477" s="8"/>
      <c r="L477" s="8"/>
      <c r="M477" s="8"/>
      <c r="N477" s="8"/>
      <c r="O477" s="8"/>
      <c r="P477" s="9"/>
      <c r="Q477" s="9"/>
      <c r="R477" s="9"/>
      <c r="S477" s="8"/>
      <c r="T477" s="8"/>
      <c r="U477" s="8"/>
      <c r="V477" s="8"/>
      <c r="W477" s="8"/>
      <c r="X477" s="8"/>
      <c r="Y477" s="8"/>
      <c r="Z477" s="194"/>
      <c r="AA477" s="194"/>
      <c r="AB477" s="194"/>
      <c r="AC477" s="11"/>
      <c r="AD477" s="11"/>
      <c r="AE477" s="11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3"/>
      <c r="AY477" s="13"/>
      <c r="AZ477" s="13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</row>
    <row r="478" spans="1:63" ht="14.25" customHeight="1" x14ac:dyDescent="0.25">
      <c r="A478" s="9"/>
      <c r="B478" s="2"/>
      <c r="C478" s="2"/>
      <c r="D478" s="9"/>
      <c r="E478" s="9"/>
      <c r="F478" s="9"/>
      <c r="G478" s="9"/>
      <c r="H478" s="9"/>
      <c r="I478" s="8"/>
      <c r="J478" s="8"/>
      <c r="K478" s="8"/>
      <c r="L478" s="8"/>
      <c r="M478" s="8"/>
      <c r="N478" s="8"/>
      <c r="O478" s="8"/>
      <c r="P478" s="9"/>
      <c r="Q478" s="9"/>
      <c r="R478" s="9"/>
      <c r="S478" s="8"/>
      <c r="T478" s="8"/>
      <c r="U478" s="8"/>
      <c r="V478" s="8"/>
      <c r="W478" s="8"/>
      <c r="X478" s="8"/>
      <c r="Y478" s="8"/>
      <c r="Z478" s="194"/>
      <c r="AA478" s="194"/>
      <c r="AB478" s="194"/>
      <c r="AC478" s="11"/>
      <c r="AD478" s="11"/>
      <c r="AE478" s="11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3"/>
      <c r="AY478" s="13"/>
      <c r="AZ478" s="13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</row>
    <row r="479" spans="1:63" ht="14.25" customHeight="1" x14ac:dyDescent="0.25">
      <c r="A479" s="9"/>
      <c r="B479" s="2"/>
      <c r="C479" s="2"/>
      <c r="D479" s="9"/>
      <c r="E479" s="9"/>
      <c r="F479" s="9"/>
      <c r="G479" s="9"/>
      <c r="H479" s="9"/>
      <c r="I479" s="8"/>
      <c r="J479" s="8"/>
      <c r="K479" s="8"/>
      <c r="L479" s="8"/>
      <c r="M479" s="8"/>
      <c r="N479" s="8"/>
      <c r="O479" s="8"/>
      <c r="P479" s="9"/>
      <c r="Q479" s="9"/>
      <c r="R479" s="9"/>
      <c r="S479" s="8"/>
      <c r="T479" s="8"/>
      <c r="U479" s="8"/>
      <c r="V479" s="8"/>
      <c r="W479" s="8"/>
      <c r="X479" s="8"/>
      <c r="Y479" s="8"/>
      <c r="Z479" s="194"/>
      <c r="AA479" s="194"/>
      <c r="AB479" s="194"/>
      <c r="AC479" s="11"/>
      <c r="AD479" s="11"/>
      <c r="AE479" s="11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3"/>
      <c r="AY479" s="13"/>
      <c r="AZ479" s="13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</row>
    <row r="480" spans="1:63" ht="14.25" customHeight="1" x14ac:dyDescent="0.25">
      <c r="A480" s="9"/>
      <c r="B480" s="2"/>
      <c r="C480" s="2"/>
      <c r="D480" s="9"/>
      <c r="E480" s="9"/>
      <c r="F480" s="9"/>
      <c r="G480" s="9"/>
      <c r="H480" s="9"/>
      <c r="I480" s="8"/>
      <c r="J480" s="8"/>
      <c r="K480" s="8"/>
      <c r="L480" s="8"/>
      <c r="M480" s="8"/>
      <c r="N480" s="8"/>
      <c r="O480" s="8"/>
      <c r="P480" s="9"/>
      <c r="Q480" s="9"/>
      <c r="R480" s="9"/>
      <c r="S480" s="8"/>
      <c r="T480" s="8"/>
      <c r="U480" s="8"/>
      <c r="V480" s="8"/>
      <c r="W480" s="8"/>
      <c r="X480" s="8"/>
      <c r="Y480" s="8"/>
      <c r="Z480" s="194"/>
      <c r="AA480" s="194"/>
      <c r="AB480" s="194"/>
      <c r="AC480" s="11"/>
      <c r="AD480" s="11"/>
      <c r="AE480" s="11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3"/>
      <c r="AY480" s="13"/>
      <c r="AZ480" s="13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</row>
    <row r="481" spans="1:63" ht="14.25" customHeight="1" x14ac:dyDescent="0.25">
      <c r="A481" s="9"/>
      <c r="B481" s="2"/>
      <c r="C481" s="2"/>
      <c r="D481" s="9"/>
      <c r="E481" s="9"/>
      <c r="F481" s="9"/>
      <c r="G481" s="9"/>
      <c r="H481" s="9"/>
      <c r="I481" s="8"/>
      <c r="J481" s="8"/>
      <c r="K481" s="8"/>
      <c r="L481" s="8"/>
      <c r="M481" s="8"/>
      <c r="N481" s="8"/>
      <c r="O481" s="8"/>
      <c r="P481" s="9"/>
      <c r="Q481" s="9"/>
      <c r="R481" s="9"/>
      <c r="S481" s="8"/>
      <c r="T481" s="8"/>
      <c r="U481" s="8"/>
      <c r="V481" s="8"/>
      <c r="W481" s="8"/>
      <c r="X481" s="8"/>
      <c r="Y481" s="8"/>
      <c r="Z481" s="194"/>
      <c r="AA481" s="194"/>
      <c r="AB481" s="194"/>
      <c r="AC481" s="11"/>
      <c r="AD481" s="11"/>
      <c r="AE481" s="11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3"/>
      <c r="AY481" s="13"/>
      <c r="AZ481" s="13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</row>
    <row r="482" spans="1:63" ht="14.25" customHeight="1" x14ac:dyDescent="0.25">
      <c r="A482" s="9"/>
      <c r="B482" s="2"/>
      <c r="C482" s="2"/>
      <c r="D482" s="9"/>
      <c r="E482" s="9"/>
      <c r="F482" s="9"/>
      <c r="G482" s="9"/>
      <c r="H482" s="9"/>
      <c r="I482" s="8"/>
      <c r="J482" s="8"/>
      <c r="K482" s="8"/>
      <c r="L482" s="8"/>
      <c r="M482" s="8"/>
      <c r="N482" s="8"/>
      <c r="O482" s="8"/>
      <c r="P482" s="9"/>
      <c r="Q482" s="9"/>
      <c r="R482" s="9"/>
      <c r="S482" s="8"/>
      <c r="T482" s="8"/>
      <c r="U482" s="8"/>
      <c r="V482" s="8"/>
      <c r="W482" s="8"/>
      <c r="X482" s="8"/>
      <c r="Y482" s="8"/>
      <c r="Z482" s="194"/>
      <c r="AA482" s="194"/>
      <c r="AB482" s="194"/>
      <c r="AC482" s="11"/>
      <c r="AD482" s="11"/>
      <c r="AE482" s="11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3"/>
      <c r="AY482" s="13"/>
      <c r="AZ482" s="13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</row>
    <row r="483" spans="1:63" ht="14.25" customHeight="1" x14ac:dyDescent="0.25">
      <c r="A483" s="9"/>
      <c r="B483" s="2"/>
      <c r="C483" s="2"/>
      <c r="D483" s="9"/>
      <c r="E483" s="9"/>
      <c r="F483" s="9"/>
      <c r="G483" s="9"/>
      <c r="H483" s="9"/>
      <c r="I483" s="8"/>
      <c r="J483" s="8"/>
      <c r="K483" s="8"/>
      <c r="L483" s="8"/>
      <c r="M483" s="8"/>
      <c r="N483" s="8"/>
      <c r="O483" s="8"/>
      <c r="P483" s="9"/>
      <c r="Q483" s="9"/>
      <c r="R483" s="9"/>
      <c r="S483" s="8"/>
      <c r="T483" s="8"/>
      <c r="U483" s="8"/>
      <c r="V483" s="8"/>
      <c r="W483" s="8"/>
      <c r="X483" s="8"/>
      <c r="Y483" s="8"/>
      <c r="Z483" s="194"/>
      <c r="AA483" s="194"/>
      <c r="AB483" s="194"/>
      <c r="AC483" s="11"/>
      <c r="AD483" s="11"/>
      <c r="AE483" s="11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3"/>
      <c r="AY483" s="13"/>
      <c r="AZ483" s="13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</row>
    <row r="484" spans="1:63" ht="14.25" customHeight="1" x14ac:dyDescent="0.25">
      <c r="A484" s="9"/>
      <c r="B484" s="2"/>
      <c r="C484" s="2"/>
      <c r="D484" s="9"/>
      <c r="E484" s="9"/>
      <c r="F484" s="9"/>
      <c r="G484" s="9"/>
      <c r="H484" s="9"/>
      <c r="I484" s="8"/>
      <c r="J484" s="8"/>
      <c r="K484" s="8"/>
      <c r="L484" s="8"/>
      <c r="M484" s="8"/>
      <c r="N484" s="8"/>
      <c r="O484" s="8"/>
      <c r="P484" s="9"/>
      <c r="Q484" s="9"/>
      <c r="R484" s="9"/>
      <c r="S484" s="8"/>
      <c r="T484" s="8"/>
      <c r="U484" s="8"/>
      <c r="V484" s="8"/>
      <c r="W484" s="8"/>
      <c r="X484" s="8"/>
      <c r="Y484" s="8"/>
      <c r="Z484" s="194"/>
      <c r="AA484" s="194"/>
      <c r="AB484" s="194"/>
      <c r="AC484" s="11"/>
      <c r="AD484" s="11"/>
      <c r="AE484" s="11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3"/>
      <c r="AY484" s="13"/>
      <c r="AZ484" s="13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</row>
    <row r="485" spans="1:63" ht="14.25" customHeight="1" x14ac:dyDescent="0.25">
      <c r="A485" s="9"/>
      <c r="B485" s="2"/>
      <c r="C485" s="2"/>
      <c r="D485" s="9"/>
      <c r="E485" s="9"/>
      <c r="F485" s="9"/>
      <c r="G485" s="9"/>
      <c r="H485" s="9"/>
      <c r="I485" s="8"/>
      <c r="J485" s="8"/>
      <c r="K485" s="8"/>
      <c r="L485" s="8"/>
      <c r="M485" s="8"/>
      <c r="N485" s="8"/>
      <c r="O485" s="8"/>
      <c r="P485" s="9"/>
      <c r="Q485" s="9"/>
      <c r="R485" s="9"/>
      <c r="S485" s="8"/>
      <c r="T485" s="8"/>
      <c r="U485" s="8"/>
      <c r="V485" s="8"/>
      <c r="W485" s="8"/>
      <c r="X485" s="8"/>
      <c r="Y485" s="8"/>
      <c r="Z485" s="194"/>
      <c r="AA485" s="194"/>
      <c r="AB485" s="194"/>
      <c r="AC485" s="11"/>
      <c r="AD485" s="11"/>
      <c r="AE485" s="11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3"/>
      <c r="AY485" s="13"/>
      <c r="AZ485" s="13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</row>
    <row r="486" spans="1:63" ht="14.25" customHeight="1" x14ac:dyDescent="0.25">
      <c r="A486" s="9"/>
      <c r="B486" s="2"/>
      <c r="C486" s="2"/>
      <c r="D486" s="9"/>
      <c r="E486" s="9"/>
      <c r="F486" s="9"/>
      <c r="G486" s="9"/>
      <c r="H486" s="9"/>
      <c r="I486" s="8"/>
      <c r="J486" s="8"/>
      <c r="K486" s="8"/>
      <c r="L486" s="8"/>
      <c r="M486" s="8"/>
      <c r="N486" s="8"/>
      <c r="O486" s="8"/>
      <c r="P486" s="9"/>
      <c r="Q486" s="9"/>
      <c r="R486" s="9"/>
      <c r="S486" s="8"/>
      <c r="T486" s="8"/>
      <c r="U486" s="8"/>
      <c r="V486" s="8"/>
      <c r="W486" s="8"/>
      <c r="X486" s="8"/>
      <c r="Y486" s="8"/>
      <c r="Z486" s="194"/>
      <c r="AA486" s="194"/>
      <c r="AB486" s="194"/>
      <c r="AC486" s="11"/>
      <c r="AD486" s="11"/>
      <c r="AE486" s="11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3"/>
      <c r="AY486" s="13"/>
      <c r="AZ486" s="13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</row>
    <row r="487" spans="1:63" ht="14.25" customHeight="1" x14ac:dyDescent="0.25">
      <c r="A487" s="9"/>
      <c r="B487" s="2"/>
      <c r="C487" s="2"/>
      <c r="D487" s="9"/>
      <c r="E487" s="9"/>
      <c r="F487" s="9"/>
      <c r="G487" s="9"/>
      <c r="H487" s="9"/>
      <c r="I487" s="8"/>
      <c r="J487" s="8"/>
      <c r="K487" s="8"/>
      <c r="L487" s="8"/>
      <c r="M487" s="8"/>
      <c r="N487" s="8"/>
      <c r="O487" s="8"/>
      <c r="P487" s="9"/>
      <c r="Q487" s="9"/>
      <c r="R487" s="9"/>
      <c r="S487" s="8"/>
      <c r="T487" s="8"/>
      <c r="U487" s="8"/>
      <c r="V487" s="8"/>
      <c r="W487" s="8"/>
      <c r="X487" s="8"/>
      <c r="Y487" s="8"/>
      <c r="Z487" s="194"/>
      <c r="AA487" s="194"/>
      <c r="AB487" s="194"/>
      <c r="AC487" s="11"/>
      <c r="AD487" s="11"/>
      <c r="AE487" s="11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3"/>
      <c r="AY487" s="13"/>
      <c r="AZ487" s="13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</row>
    <row r="488" spans="1:63" ht="14.25" customHeight="1" x14ac:dyDescent="0.25">
      <c r="A488" s="9"/>
      <c r="B488" s="2"/>
      <c r="C488" s="2"/>
      <c r="D488" s="9"/>
      <c r="E488" s="9"/>
      <c r="F488" s="9"/>
      <c r="G488" s="9"/>
      <c r="H488" s="9"/>
      <c r="I488" s="8"/>
      <c r="J488" s="8"/>
      <c r="K488" s="8"/>
      <c r="L488" s="8"/>
      <c r="M488" s="8"/>
      <c r="N488" s="8"/>
      <c r="O488" s="8"/>
      <c r="P488" s="9"/>
      <c r="Q488" s="9"/>
      <c r="R488" s="9"/>
      <c r="S488" s="8"/>
      <c r="T488" s="8"/>
      <c r="U488" s="8"/>
      <c r="V488" s="8"/>
      <c r="W488" s="8"/>
      <c r="X488" s="8"/>
      <c r="Y488" s="8"/>
      <c r="Z488" s="194"/>
      <c r="AA488" s="194"/>
      <c r="AB488" s="194"/>
      <c r="AC488" s="11"/>
      <c r="AD488" s="11"/>
      <c r="AE488" s="11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3"/>
      <c r="AY488" s="13"/>
      <c r="AZ488" s="13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</row>
    <row r="489" spans="1:63" ht="14.25" customHeight="1" x14ac:dyDescent="0.25">
      <c r="A489" s="9"/>
      <c r="B489" s="2"/>
      <c r="C489" s="2"/>
      <c r="D489" s="9"/>
      <c r="E489" s="9"/>
      <c r="F489" s="9"/>
      <c r="G489" s="9"/>
      <c r="H489" s="9"/>
      <c r="I489" s="8"/>
      <c r="J489" s="8"/>
      <c r="K489" s="8"/>
      <c r="L489" s="8"/>
      <c r="M489" s="8"/>
      <c r="N489" s="8"/>
      <c r="O489" s="8"/>
      <c r="P489" s="9"/>
      <c r="Q489" s="9"/>
      <c r="R489" s="9"/>
      <c r="S489" s="8"/>
      <c r="T489" s="8"/>
      <c r="U489" s="8"/>
      <c r="V489" s="8"/>
      <c r="W489" s="8"/>
      <c r="X489" s="8"/>
      <c r="Y489" s="8"/>
      <c r="Z489" s="194"/>
      <c r="AA489" s="194"/>
      <c r="AB489" s="194"/>
      <c r="AC489" s="11"/>
      <c r="AD489" s="11"/>
      <c r="AE489" s="11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3"/>
      <c r="AY489" s="13"/>
      <c r="AZ489" s="13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</row>
    <row r="490" spans="1:63" ht="14.25" customHeight="1" x14ac:dyDescent="0.25">
      <c r="A490" s="9"/>
      <c r="B490" s="2"/>
      <c r="C490" s="2"/>
      <c r="D490" s="9"/>
      <c r="E490" s="9"/>
      <c r="F490" s="9"/>
      <c r="G490" s="9"/>
      <c r="H490" s="9"/>
      <c r="I490" s="8"/>
      <c r="J490" s="8"/>
      <c r="K490" s="8"/>
      <c r="L490" s="8"/>
      <c r="M490" s="8"/>
      <c r="N490" s="8"/>
      <c r="O490" s="8"/>
      <c r="P490" s="9"/>
      <c r="Q490" s="9"/>
      <c r="R490" s="9"/>
      <c r="S490" s="8"/>
      <c r="T490" s="8"/>
      <c r="U490" s="8"/>
      <c r="V490" s="8"/>
      <c r="W490" s="8"/>
      <c r="X490" s="8"/>
      <c r="Y490" s="8"/>
      <c r="Z490" s="194"/>
      <c r="AA490" s="194"/>
      <c r="AB490" s="194"/>
      <c r="AC490" s="11"/>
      <c r="AD490" s="11"/>
      <c r="AE490" s="11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3"/>
      <c r="AY490" s="13"/>
      <c r="AZ490" s="13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</row>
    <row r="491" spans="1:63" ht="14.25" customHeight="1" x14ac:dyDescent="0.25">
      <c r="A491" s="9"/>
      <c r="B491" s="2"/>
      <c r="C491" s="2"/>
      <c r="D491" s="9"/>
      <c r="E491" s="9"/>
      <c r="F491" s="9"/>
      <c r="G491" s="9"/>
      <c r="H491" s="9"/>
      <c r="I491" s="8"/>
      <c r="J491" s="8"/>
      <c r="K491" s="8"/>
      <c r="L491" s="8"/>
      <c r="M491" s="8"/>
      <c r="N491" s="8"/>
      <c r="O491" s="8"/>
      <c r="P491" s="9"/>
      <c r="Q491" s="9"/>
      <c r="R491" s="9"/>
      <c r="S491" s="8"/>
      <c r="T491" s="8"/>
      <c r="U491" s="8"/>
      <c r="V491" s="8"/>
      <c r="W491" s="8"/>
      <c r="X491" s="8"/>
      <c r="Y491" s="8"/>
      <c r="Z491" s="194"/>
      <c r="AA491" s="194"/>
      <c r="AB491" s="194"/>
      <c r="AC491" s="11"/>
      <c r="AD491" s="11"/>
      <c r="AE491" s="11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3"/>
      <c r="AY491" s="13"/>
      <c r="AZ491" s="13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</row>
    <row r="492" spans="1:63" ht="14.25" customHeight="1" x14ac:dyDescent="0.25">
      <c r="A492" s="9"/>
      <c r="B492" s="2"/>
      <c r="C492" s="2"/>
      <c r="D492" s="9"/>
      <c r="E492" s="9"/>
      <c r="F492" s="9"/>
      <c r="G492" s="9"/>
      <c r="H492" s="9"/>
      <c r="I492" s="8"/>
      <c r="J492" s="8"/>
      <c r="K492" s="8"/>
      <c r="L492" s="8"/>
      <c r="M492" s="8"/>
      <c r="N492" s="8"/>
      <c r="O492" s="8"/>
      <c r="P492" s="9"/>
      <c r="Q492" s="9"/>
      <c r="R492" s="9"/>
      <c r="S492" s="8"/>
      <c r="T492" s="8"/>
      <c r="U492" s="8"/>
      <c r="V492" s="8"/>
      <c r="W492" s="8"/>
      <c r="X492" s="8"/>
      <c r="Y492" s="8"/>
      <c r="Z492" s="194"/>
      <c r="AA492" s="194"/>
      <c r="AB492" s="194"/>
      <c r="AC492" s="11"/>
      <c r="AD492" s="11"/>
      <c r="AE492" s="11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3"/>
      <c r="AY492" s="13"/>
      <c r="AZ492" s="13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</row>
    <row r="493" spans="1:63" ht="14.25" customHeight="1" x14ac:dyDescent="0.25">
      <c r="A493" s="9"/>
      <c r="B493" s="2"/>
      <c r="C493" s="2"/>
      <c r="D493" s="9"/>
      <c r="E493" s="9"/>
      <c r="F493" s="9"/>
      <c r="G493" s="9"/>
      <c r="H493" s="9"/>
      <c r="I493" s="8"/>
      <c r="J493" s="8"/>
      <c r="K493" s="8"/>
      <c r="L493" s="8"/>
      <c r="M493" s="8"/>
      <c r="N493" s="8"/>
      <c r="O493" s="8"/>
      <c r="P493" s="9"/>
      <c r="Q493" s="9"/>
      <c r="R493" s="9"/>
      <c r="S493" s="8"/>
      <c r="T493" s="8"/>
      <c r="U493" s="8"/>
      <c r="V493" s="8"/>
      <c r="W493" s="8"/>
      <c r="X493" s="8"/>
      <c r="Y493" s="8"/>
      <c r="Z493" s="194"/>
      <c r="AA493" s="194"/>
      <c r="AB493" s="194"/>
      <c r="AC493" s="11"/>
      <c r="AD493" s="11"/>
      <c r="AE493" s="11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3"/>
      <c r="AY493" s="13"/>
      <c r="AZ493" s="13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</row>
    <row r="494" spans="1:63" ht="14.25" customHeight="1" x14ac:dyDescent="0.25">
      <c r="A494" s="9"/>
      <c r="B494" s="2"/>
      <c r="C494" s="2"/>
      <c r="D494" s="9"/>
      <c r="E494" s="9"/>
      <c r="F494" s="9"/>
      <c r="G494" s="9"/>
      <c r="H494" s="9"/>
      <c r="I494" s="8"/>
      <c r="J494" s="8"/>
      <c r="K494" s="8"/>
      <c r="L494" s="8"/>
      <c r="M494" s="8"/>
      <c r="N494" s="8"/>
      <c r="O494" s="8"/>
      <c r="P494" s="9"/>
      <c r="Q494" s="9"/>
      <c r="R494" s="9"/>
      <c r="S494" s="8"/>
      <c r="T494" s="8"/>
      <c r="U494" s="8"/>
      <c r="V494" s="8"/>
      <c r="W494" s="8"/>
      <c r="X494" s="8"/>
      <c r="Y494" s="8"/>
      <c r="Z494" s="194"/>
      <c r="AA494" s="194"/>
      <c r="AB494" s="194"/>
      <c r="AC494" s="11"/>
      <c r="AD494" s="11"/>
      <c r="AE494" s="11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3"/>
      <c r="AY494" s="13"/>
      <c r="AZ494" s="13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</row>
    <row r="495" spans="1:63" ht="14.25" customHeight="1" x14ac:dyDescent="0.25">
      <c r="A495" s="9"/>
      <c r="B495" s="2"/>
      <c r="C495" s="2"/>
      <c r="D495" s="9"/>
      <c r="E495" s="9"/>
      <c r="F495" s="9"/>
      <c r="G495" s="9"/>
      <c r="H495" s="9"/>
      <c r="I495" s="8"/>
      <c r="J495" s="8"/>
      <c r="K495" s="8"/>
      <c r="L495" s="8"/>
      <c r="M495" s="8"/>
      <c r="N495" s="8"/>
      <c r="O495" s="8"/>
      <c r="P495" s="9"/>
      <c r="Q495" s="9"/>
      <c r="R495" s="9"/>
      <c r="S495" s="8"/>
      <c r="T495" s="8"/>
      <c r="U495" s="8"/>
      <c r="V495" s="8"/>
      <c r="W495" s="8"/>
      <c r="X495" s="8"/>
      <c r="Y495" s="8"/>
      <c r="Z495" s="194"/>
      <c r="AA495" s="194"/>
      <c r="AB495" s="194"/>
      <c r="AC495" s="11"/>
      <c r="AD495" s="11"/>
      <c r="AE495" s="11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3"/>
      <c r="AY495" s="13"/>
      <c r="AZ495" s="13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</row>
    <row r="496" spans="1:63" ht="14.25" customHeight="1" x14ac:dyDescent="0.25">
      <c r="A496" s="9"/>
      <c r="B496" s="2"/>
      <c r="C496" s="2"/>
      <c r="D496" s="9"/>
      <c r="E496" s="9"/>
      <c r="F496" s="9"/>
      <c r="G496" s="9"/>
      <c r="H496" s="9"/>
      <c r="I496" s="8"/>
      <c r="J496" s="8"/>
      <c r="K496" s="8"/>
      <c r="L496" s="8"/>
      <c r="M496" s="8"/>
      <c r="N496" s="8"/>
      <c r="O496" s="8"/>
      <c r="P496" s="9"/>
      <c r="Q496" s="9"/>
      <c r="R496" s="9"/>
      <c r="S496" s="8"/>
      <c r="T496" s="8"/>
      <c r="U496" s="8"/>
      <c r="V496" s="8"/>
      <c r="W496" s="8"/>
      <c r="X496" s="8"/>
      <c r="Y496" s="8"/>
      <c r="Z496" s="194"/>
      <c r="AA496" s="194"/>
      <c r="AB496" s="194"/>
      <c r="AC496" s="11"/>
      <c r="AD496" s="11"/>
      <c r="AE496" s="11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3"/>
      <c r="AY496" s="13"/>
      <c r="AZ496" s="13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</row>
    <row r="497" spans="1:63" ht="14.25" customHeight="1" x14ac:dyDescent="0.25">
      <c r="A497" s="9"/>
      <c r="B497" s="2"/>
      <c r="C497" s="2"/>
      <c r="D497" s="9"/>
      <c r="E497" s="9"/>
      <c r="F497" s="9"/>
      <c r="G497" s="9"/>
      <c r="H497" s="9"/>
      <c r="I497" s="8"/>
      <c r="J497" s="8"/>
      <c r="K497" s="8"/>
      <c r="L497" s="8"/>
      <c r="M497" s="8"/>
      <c r="N497" s="8"/>
      <c r="O497" s="8"/>
      <c r="P497" s="9"/>
      <c r="Q497" s="9"/>
      <c r="R497" s="9"/>
      <c r="S497" s="8"/>
      <c r="T497" s="8"/>
      <c r="U497" s="8"/>
      <c r="V497" s="8"/>
      <c r="W497" s="8"/>
      <c r="X497" s="8"/>
      <c r="Y497" s="8"/>
      <c r="Z497" s="194"/>
      <c r="AA497" s="194"/>
      <c r="AB497" s="194"/>
      <c r="AC497" s="11"/>
      <c r="AD497" s="11"/>
      <c r="AE497" s="11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3"/>
      <c r="AY497" s="13"/>
      <c r="AZ497" s="13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</row>
    <row r="498" spans="1:63" ht="14.25" customHeight="1" x14ac:dyDescent="0.25">
      <c r="A498" s="9"/>
      <c r="B498" s="2"/>
      <c r="C498" s="2"/>
      <c r="D498" s="9"/>
      <c r="E498" s="9"/>
      <c r="F498" s="9"/>
      <c r="G498" s="9"/>
      <c r="H498" s="9"/>
      <c r="I498" s="8"/>
      <c r="J498" s="8"/>
      <c r="K498" s="8"/>
      <c r="L498" s="8"/>
      <c r="M498" s="8"/>
      <c r="N498" s="8"/>
      <c r="O498" s="8"/>
      <c r="P498" s="9"/>
      <c r="Q498" s="9"/>
      <c r="R498" s="9"/>
      <c r="S498" s="8"/>
      <c r="T498" s="8"/>
      <c r="U498" s="8"/>
      <c r="V498" s="8"/>
      <c r="W498" s="8"/>
      <c r="X498" s="8"/>
      <c r="Y498" s="8"/>
      <c r="Z498" s="194"/>
      <c r="AA498" s="194"/>
      <c r="AB498" s="194"/>
      <c r="AC498" s="11"/>
      <c r="AD498" s="11"/>
      <c r="AE498" s="11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3"/>
      <c r="AY498" s="13"/>
      <c r="AZ498" s="13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</row>
    <row r="499" spans="1:63" ht="14.25" customHeight="1" x14ac:dyDescent="0.25">
      <c r="A499" s="9"/>
      <c r="B499" s="2"/>
      <c r="C499" s="2"/>
      <c r="D499" s="9"/>
      <c r="E499" s="9"/>
      <c r="F499" s="9"/>
      <c r="G499" s="9"/>
      <c r="H499" s="9"/>
      <c r="I499" s="8"/>
      <c r="J499" s="8"/>
      <c r="K499" s="8"/>
      <c r="L499" s="8"/>
      <c r="M499" s="8"/>
      <c r="N499" s="8"/>
      <c r="O499" s="8"/>
      <c r="P499" s="9"/>
      <c r="Q499" s="9"/>
      <c r="R499" s="9"/>
      <c r="S499" s="8"/>
      <c r="T499" s="8"/>
      <c r="U499" s="8"/>
      <c r="V499" s="8"/>
      <c r="W499" s="8"/>
      <c r="X499" s="8"/>
      <c r="Y499" s="8"/>
      <c r="Z499" s="194"/>
      <c r="AA499" s="194"/>
      <c r="AB499" s="194"/>
      <c r="AC499" s="11"/>
      <c r="AD499" s="11"/>
      <c r="AE499" s="11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3"/>
      <c r="AY499" s="13"/>
      <c r="AZ499" s="13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</row>
    <row r="500" spans="1:63" ht="14.25" customHeight="1" x14ac:dyDescent="0.25">
      <c r="A500" s="9"/>
      <c r="B500" s="2"/>
      <c r="C500" s="2"/>
      <c r="D500" s="9"/>
      <c r="E500" s="9"/>
      <c r="F500" s="9"/>
      <c r="G500" s="9"/>
      <c r="H500" s="9"/>
      <c r="I500" s="8"/>
      <c r="J500" s="8"/>
      <c r="K500" s="8"/>
      <c r="L500" s="8"/>
      <c r="M500" s="8"/>
      <c r="N500" s="8"/>
      <c r="O500" s="8"/>
      <c r="P500" s="9"/>
      <c r="Q500" s="9"/>
      <c r="R500" s="9"/>
      <c r="S500" s="8"/>
      <c r="T500" s="8"/>
      <c r="U500" s="8"/>
      <c r="V500" s="8"/>
      <c r="W500" s="8"/>
      <c r="X500" s="8"/>
      <c r="Y500" s="8"/>
      <c r="Z500" s="194"/>
      <c r="AA500" s="194"/>
      <c r="AB500" s="194"/>
      <c r="AC500" s="11"/>
      <c r="AD500" s="11"/>
      <c r="AE500" s="11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3"/>
      <c r="AY500" s="13"/>
      <c r="AZ500" s="13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</row>
    <row r="501" spans="1:63" ht="14.25" customHeight="1" x14ac:dyDescent="0.25">
      <c r="A501" s="9"/>
      <c r="B501" s="2"/>
      <c r="C501" s="2"/>
      <c r="D501" s="9"/>
      <c r="E501" s="9"/>
      <c r="F501" s="9"/>
      <c r="G501" s="9"/>
      <c r="H501" s="9"/>
      <c r="I501" s="8"/>
      <c r="J501" s="8"/>
      <c r="K501" s="8"/>
      <c r="L501" s="8"/>
      <c r="M501" s="8"/>
      <c r="N501" s="8"/>
      <c r="O501" s="8"/>
      <c r="P501" s="9"/>
      <c r="Q501" s="9"/>
      <c r="R501" s="9"/>
      <c r="S501" s="8"/>
      <c r="T501" s="8"/>
      <c r="U501" s="8"/>
      <c r="V501" s="8"/>
      <c r="W501" s="8"/>
      <c r="X501" s="8"/>
      <c r="Y501" s="8"/>
      <c r="Z501" s="194"/>
      <c r="AA501" s="194"/>
      <c r="AB501" s="194"/>
      <c r="AC501" s="11"/>
      <c r="AD501" s="11"/>
      <c r="AE501" s="11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3"/>
      <c r="AY501" s="13"/>
      <c r="AZ501" s="13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</row>
    <row r="502" spans="1:63" ht="14.25" customHeight="1" x14ac:dyDescent="0.25">
      <c r="A502" s="9"/>
      <c r="B502" s="2"/>
      <c r="C502" s="2"/>
      <c r="D502" s="9"/>
      <c r="E502" s="9"/>
      <c r="F502" s="9"/>
      <c r="G502" s="9"/>
      <c r="H502" s="9"/>
      <c r="I502" s="8"/>
      <c r="J502" s="8"/>
      <c r="K502" s="8"/>
      <c r="L502" s="8"/>
      <c r="M502" s="8"/>
      <c r="N502" s="8"/>
      <c r="O502" s="8"/>
      <c r="P502" s="9"/>
      <c r="Q502" s="9"/>
      <c r="R502" s="9"/>
      <c r="S502" s="8"/>
      <c r="T502" s="8"/>
      <c r="U502" s="8"/>
      <c r="V502" s="8"/>
      <c r="W502" s="8"/>
      <c r="X502" s="8"/>
      <c r="Y502" s="8"/>
      <c r="Z502" s="194"/>
      <c r="AA502" s="194"/>
      <c r="AB502" s="194"/>
      <c r="AC502" s="11"/>
      <c r="AD502" s="11"/>
      <c r="AE502" s="11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3"/>
      <c r="AY502" s="13"/>
      <c r="AZ502" s="13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</row>
    <row r="503" spans="1:63" ht="14.25" customHeight="1" x14ac:dyDescent="0.25">
      <c r="A503" s="9"/>
      <c r="B503" s="2"/>
      <c r="C503" s="2"/>
      <c r="D503" s="9"/>
      <c r="E503" s="9"/>
      <c r="F503" s="9"/>
      <c r="G503" s="9"/>
      <c r="H503" s="9"/>
      <c r="I503" s="8"/>
      <c r="J503" s="8"/>
      <c r="K503" s="8"/>
      <c r="L503" s="8"/>
      <c r="M503" s="8"/>
      <c r="N503" s="8"/>
      <c r="O503" s="8"/>
      <c r="P503" s="9"/>
      <c r="Q503" s="9"/>
      <c r="R503" s="9"/>
      <c r="S503" s="8"/>
      <c r="T503" s="8"/>
      <c r="U503" s="8"/>
      <c r="V503" s="8"/>
      <c r="W503" s="8"/>
      <c r="X503" s="8"/>
      <c r="Y503" s="8"/>
      <c r="Z503" s="194"/>
      <c r="AA503" s="194"/>
      <c r="AB503" s="194"/>
      <c r="AC503" s="11"/>
      <c r="AD503" s="11"/>
      <c r="AE503" s="11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3"/>
      <c r="AY503" s="13"/>
      <c r="AZ503" s="13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</row>
    <row r="504" spans="1:63" ht="14.25" customHeight="1" x14ac:dyDescent="0.25">
      <c r="A504" s="9"/>
      <c r="B504" s="2"/>
      <c r="C504" s="2"/>
      <c r="D504" s="9"/>
      <c r="E504" s="9"/>
      <c r="F504" s="9"/>
      <c r="G504" s="9"/>
      <c r="H504" s="9"/>
      <c r="I504" s="8"/>
      <c r="J504" s="8"/>
      <c r="K504" s="8"/>
      <c r="L504" s="8"/>
      <c r="M504" s="8"/>
      <c r="N504" s="8"/>
      <c r="O504" s="8"/>
      <c r="P504" s="9"/>
      <c r="Q504" s="9"/>
      <c r="R504" s="9"/>
      <c r="S504" s="8"/>
      <c r="T504" s="8"/>
      <c r="U504" s="8"/>
      <c r="V504" s="8"/>
      <c r="W504" s="8"/>
      <c r="X504" s="8"/>
      <c r="Y504" s="8"/>
      <c r="Z504" s="194"/>
      <c r="AA504" s="194"/>
      <c r="AB504" s="194"/>
      <c r="AC504" s="11"/>
      <c r="AD504" s="11"/>
      <c r="AE504" s="11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3"/>
      <c r="AY504" s="13"/>
      <c r="AZ504" s="13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</row>
    <row r="505" spans="1:63" ht="14.25" customHeight="1" x14ac:dyDescent="0.25">
      <c r="A505" s="9"/>
      <c r="B505" s="2"/>
      <c r="C505" s="2"/>
      <c r="D505" s="9"/>
      <c r="E505" s="9"/>
      <c r="F505" s="9"/>
      <c r="G505" s="9"/>
      <c r="H505" s="9"/>
      <c r="I505" s="8"/>
      <c r="J505" s="8"/>
      <c r="K505" s="8"/>
      <c r="L505" s="8"/>
      <c r="M505" s="8"/>
      <c r="N505" s="8"/>
      <c r="O505" s="8"/>
      <c r="P505" s="9"/>
      <c r="Q505" s="9"/>
      <c r="R505" s="9"/>
      <c r="S505" s="8"/>
      <c r="T505" s="8"/>
      <c r="U505" s="8"/>
      <c r="V505" s="8"/>
      <c r="W505" s="8"/>
      <c r="X505" s="8"/>
      <c r="Y505" s="8"/>
      <c r="Z505" s="194"/>
      <c r="AA505" s="194"/>
      <c r="AB505" s="194"/>
      <c r="AC505" s="11"/>
      <c r="AD505" s="11"/>
      <c r="AE505" s="11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3"/>
      <c r="AY505" s="13"/>
      <c r="AZ505" s="13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</row>
    <row r="506" spans="1:63" ht="14.25" customHeight="1" x14ac:dyDescent="0.25">
      <c r="A506" s="9"/>
      <c r="B506" s="2"/>
      <c r="C506" s="2"/>
      <c r="D506" s="9"/>
      <c r="E506" s="9"/>
      <c r="F506" s="9"/>
      <c r="G506" s="9"/>
      <c r="H506" s="9"/>
      <c r="I506" s="8"/>
      <c r="J506" s="8"/>
      <c r="K506" s="8"/>
      <c r="L506" s="8"/>
      <c r="M506" s="8"/>
      <c r="N506" s="8"/>
      <c r="O506" s="8"/>
      <c r="P506" s="9"/>
      <c r="Q506" s="9"/>
      <c r="R506" s="9"/>
      <c r="S506" s="8"/>
      <c r="T506" s="8"/>
      <c r="U506" s="8"/>
      <c r="V506" s="8"/>
      <c r="W506" s="8"/>
      <c r="X506" s="8"/>
      <c r="Y506" s="8"/>
      <c r="Z506" s="194"/>
      <c r="AA506" s="194"/>
      <c r="AB506" s="194"/>
      <c r="AC506" s="11"/>
      <c r="AD506" s="11"/>
      <c r="AE506" s="11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3"/>
      <c r="AY506" s="13"/>
      <c r="AZ506" s="13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</row>
    <row r="507" spans="1:63" ht="14.25" customHeight="1" x14ac:dyDescent="0.25">
      <c r="A507" s="9"/>
      <c r="B507" s="2"/>
      <c r="C507" s="2"/>
      <c r="D507" s="9"/>
      <c r="E507" s="9"/>
      <c r="F507" s="9"/>
      <c r="G507" s="9"/>
      <c r="H507" s="9"/>
      <c r="I507" s="8"/>
      <c r="J507" s="8"/>
      <c r="K507" s="8"/>
      <c r="L507" s="8"/>
      <c r="M507" s="8"/>
      <c r="N507" s="8"/>
      <c r="O507" s="8"/>
      <c r="P507" s="9"/>
      <c r="Q507" s="9"/>
      <c r="R507" s="9"/>
      <c r="S507" s="8"/>
      <c r="T507" s="8"/>
      <c r="U507" s="8"/>
      <c r="V507" s="8"/>
      <c r="W507" s="8"/>
      <c r="X507" s="8"/>
      <c r="Y507" s="8"/>
      <c r="Z507" s="194"/>
      <c r="AA507" s="194"/>
      <c r="AB507" s="194"/>
      <c r="AC507" s="11"/>
      <c r="AD507" s="11"/>
      <c r="AE507" s="11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3"/>
      <c r="AY507" s="13"/>
      <c r="AZ507" s="13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</row>
    <row r="508" spans="1:63" ht="14.25" customHeight="1" x14ac:dyDescent="0.25">
      <c r="A508" s="9"/>
      <c r="B508" s="2"/>
      <c r="C508" s="2"/>
      <c r="D508" s="9"/>
      <c r="E508" s="9"/>
      <c r="F508" s="9"/>
      <c r="G508" s="9"/>
      <c r="H508" s="9"/>
      <c r="I508" s="8"/>
      <c r="J508" s="8"/>
      <c r="K508" s="8"/>
      <c r="L508" s="8"/>
      <c r="M508" s="8"/>
      <c r="N508" s="8"/>
      <c r="O508" s="8"/>
      <c r="P508" s="9"/>
      <c r="Q508" s="9"/>
      <c r="R508" s="9"/>
      <c r="S508" s="8"/>
      <c r="T508" s="8"/>
      <c r="U508" s="8"/>
      <c r="V508" s="8"/>
      <c r="W508" s="8"/>
      <c r="X508" s="8"/>
      <c r="Y508" s="8"/>
      <c r="Z508" s="194"/>
      <c r="AA508" s="194"/>
      <c r="AB508" s="194"/>
      <c r="AC508" s="11"/>
      <c r="AD508" s="11"/>
      <c r="AE508" s="11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3"/>
      <c r="AY508" s="13"/>
      <c r="AZ508" s="13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</row>
    <row r="509" spans="1:63" ht="14.25" customHeight="1" x14ac:dyDescent="0.25">
      <c r="A509" s="9"/>
      <c r="B509" s="2"/>
      <c r="C509" s="2"/>
      <c r="D509" s="9"/>
      <c r="E509" s="9"/>
      <c r="F509" s="9"/>
      <c r="G509" s="9"/>
      <c r="H509" s="9"/>
      <c r="I509" s="8"/>
      <c r="J509" s="8"/>
      <c r="K509" s="8"/>
      <c r="L509" s="8"/>
      <c r="M509" s="8"/>
      <c r="N509" s="8"/>
      <c r="O509" s="8"/>
      <c r="P509" s="9"/>
      <c r="Q509" s="9"/>
      <c r="R509" s="9"/>
      <c r="S509" s="8"/>
      <c r="T509" s="8"/>
      <c r="U509" s="8"/>
      <c r="V509" s="8"/>
      <c r="W509" s="8"/>
      <c r="X509" s="8"/>
      <c r="Y509" s="8"/>
      <c r="Z509" s="194"/>
      <c r="AA509" s="194"/>
      <c r="AB509" s="194"/>
      <c r="AC509" s="11"/>
      <c r="AD509" s="11"/>
      <c r="AE509" s="11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3"/>
      <c r="AY509" s="13"/>
      <c r="AZ509" s="13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</row>
    <row r="510" spans="1:63" ht="14.25" customHeight="1" x14ac:dyDescent="0.25">
      <c r="A510" s="9"/>
      <c r="B510" s="2"/>
      <c r="C510" s="2"/>
      <c r="D510" s="9"/>
      <c r="E510" s="9"/>
      <c r="F510" s="9"/>
      <c r="G510" s="9"/>
      <c r="H510" s="9"/>
      <c r="I510" s="8"/>
      <c r="J510" s="8"/>
      <c r="K510" s="8"/>
      <c r="L510" s="8"/>
      <c r="M510" s="8"/>
      <c r="N510" s="8"/>
      <c r="O510" s="8"/>
      <c r="P510" s="9"/>
      <c r="Q510" s="9"/>
      <c r="R510" s="9"/>
      <c r="S510" s="8"/>
      <c r="T510" s="8"/>
      <c r="U510" s="8"/>
      <c r="V510" s="8"/>
      <c r="W510" s="8"/>
      <c r="X510" s="8"/>
      <c r="Y510" s="8"/>
      <c r="Z510" s="194"/>
      <c r="AA510" s="194"/>
      <c r="AB510" s="194"/>
      <c r="AC510" s="11"/>
      <c r="AD510" s="11"/>
      <c r="AE510" s="11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3"/>
      <c r="AY510" s="13"/>
      <c r="AZ510" s="13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</row>
    <row r="511" spans="1:63" ht="14.25" customHeight="1" x14ac:dyDescent="0.25">
      <c r="A511" s="9"/>
      <c r="B511" s="2"/>
      <c r="C511" s="2"/>
      <c r="D511" s="9"/>
      <c r="E511" s="9"/>
      <c r="F511" s="9"/>
      <c r="G511" s="9"/>
      <c r="H511" s="9"/>
      <c r="I511" s="8"/>
      <c r="J511" s="8"/>
      <c r="K511" s="8"/>
      <c r="L511" s="8"/>
      <c r="M511" s="8"/>
      <c r="N511" s="8"/>
      <c r="O511" s="8"/>
      <c r="P511" s="9"/>
      <c r="Q511" s="9"/>
      <c r="R511" s="9"/>
      <c r="S511" s="8"/>
      <c r="T511" s="8"/>
      <c r="U511" s="8"/>
      <c r="V511" s="8"/>
      <c r="W511" s="8"/>
      <c r="X511" s="8"/>
      <c r="Y511" s="8"/>
      <c r="Z511" s="194"/>
      <c r="AA511" s="194"/>
      <c r="AB511" s="194"/>
      <c r="AC511" s="11"/>
      <c r="AD511" s="11"/>
      <c r="AE511" s="11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3"/>
      <c r="AY511" s="13"/>
      <c r="AZ511" s="13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</row>
    <row r="512" spans="1:63" ht="14.25" customHeight="1" x14ac:dyDescent="0.25">
      <c r="A512" s="9"/>
      <c r="B512" s="2"/>
      <c r="C512" s="2"/>
      <c r="D512" s="9"/>
      <c r="E512" s="9"/>
      <c r="F512" s="9"/>
      <c r="G512" s="9"/>
      <c r="H512" s="9"/>
      <c r="I512" s="8"/>
      <c r="J512" s="8"/>
      <c r="K512" s="8"/>
      <c r="L512" s="8"/>
      <c r="M512" s="8"/>
      <c r="N512" s="8"/>
      <c r="O512" s="8"/>
      <c r="P512" s="9"/>
      <c r="Q512" s="9"/>
      <c r="R512" s="9"/>
      <c r="S512" s="8"/>
      <c r="T512" s="8"/>
      <c r="U512" s="8"/>
      <c r="V512" s="8"/>
      <c r="W512" s="8"/>
      <c r="X512" s="8"/>
      <c r="Y512" s="8"/>
      <c r="Z512" s="194"/>
      <c r="AA512" s="194"/>
      <c r="AB512" s="194"/>
      <c r="AC512" s="11"/>
      <c r="AD512" s="11"/>
      <c r="AE512" s="11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3"/>
      <c r="AY512" s="13"/>
      <c r="AZ512" s="13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</row>
    <row r="513" spans="1:63" ht="14.25" customHeight="1" x14ac:dyDescent="0.25">
      <c r="A513" s="9"/>
      <c r="B513" s="2"/>
      <c r="C513" s="2"/>
      <c r="D513" s="9"/>
      <c r="E513" s="9"/>
      <c r="F513" s="9"/>
      <c r="G513" s="9"/>
      <c r="H513" s="9"/>
      <c r="I513" s="8"/>
      <c r="J513" s="8"/>
      <c r="K513" s="8"/>
      <c r="L513" s="8"/>
      <c r="M513" s="8"/>
      <c r="N513" s="8"/>
      <c r="O513" s="8"/>
      <c r="P513" s="9"/>
      <c r="Q513" s="9"/>
      <c r="R513" s="9"/>
      <c r="S513" s="8"/>
      <c r="T513" s="8"/>
      <c r="U513" s="8"/>
      <c r="V513" s="8"/>
      <c r="W513" s="8"/>
      <c r="X513" s="8"/>
      <c r="Y513" s="8"/>
      <c r="Z513" s="194"/>
      <c r="AA513" s="194"/>
      <c r="AB513" s="194"/>
      <c r="AC513" s="11"/>
      <c r="AD513" s="11"/>
      <c r="AE513" s="11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3"/>
      <c r="AY513" s="13"/>
      <c r="AZ513" s="13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</row>
    <row r="514" spans="1:63" ht="14.25" customHeight="1" x14ac:dyDescent="0.25">
      <c r="A514" s="9"/>
      <c r="B514" s="2"/>
      <c r="C514" s="2"/>
      <c r="D514" s="9"/>
      <c r="E514" s="9"/>
      <c r="F514" s="9"/>
      <c r="G514" s="9"/>
      <c r="H514" s="9"/>
      <c r="I514" s="8"/>
      <c r="J514" s="8"/>
      <c r="K514" s="8"/>
      <c r="L514" s="8"/>
      <c r="M514" s="8"/>
      <c r="N514" s="8"/>
      <c r="O514" s="8"/>
      <c r="P514" s="9"/>
      <c r="Q514" s="9"/>
      <c r="R514" s="9"/>
      <c r="S514" s="8"/>
      <c r="T514" s="8"/>
      <c r="U514" s="8"/>
      <c r="V514" s="8"/>
      <c r="W514" s="8"/>
      <c r="X514" s="8"/>
      <c r="Y514" s="8"/>
      <c r="Z514" s="194"/>
      <c r="AA514" s="194"/>
      <c r="AB514" s="194"/>
      <c r="AC514" s="11"/>
      <c r="AD514" s="11"/>
      <c r="AE514" s="11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3"/>
      <c r="AY514" s="13"/>
      <c r="AZ514" s="13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</row>
    <row r="515" spans="1:63" ht="14.25" customHeight="1" x14ac:dyDescent="0.25">
      <c r="A515" s="9"/>
      <c r="B515" s="2"/>
      <c r="C515" s="2"/>
      <c r="D515" s="9"/>
      <c r="E515" s="9"/>
      <c r="F515" s="9"/>
      <c r="G515" s="9"/>
      <c r="H515" s="9"/>
      <c r="I515" s="8"/>
      <c r="J515" s="8"/>
      <c r="K515" s="8"/>
      <c r="L515" s="8"/>
      <c r="M515" s="8"/>
      <c r="N515" s="8"/>
      <c r="O515" s="8"/>
      <c r="P515" s="9"/>
      <c r="Q515" s="9"/>
      <c r="R515" s="9"/>
      <c r="S515" s="8"/>
      <c r="T515" s="8"/>
      <c r="U515" s="8"/>
      <c r="V515" s="8"/>
      <c r="W515" s="8"/>
      <c r="X515" s="8"/>
      <c r="Y515" s="8"/>
      <c r="Z515" s="194"/>
      <c r="AA515" s="194"/>
      <c r="AB515" s="194"/>
      <c r="AC515" s="11"/>
      <c r="AD515" s="11"/>
      <c r="AE515" s="11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3"/>
      <c r="AY515" s="13"/>
      <c r="AZ515" s="13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</row>
    <row r="516" spans="1:63" ht="14.25" customHeight="1" x14ac:dyDescent="0.25">
      <c r="A516" s="9"/>
      <c r="B516" s="2"/>
      <c r="C516" s="2"/>
      <c r="D516" s="9"/>
      <c r="E516" s="9"/>
      <c r="F516" s="9"/>
      <c r="G516" s="9"/>
      <c r="H516" s="9"/>
      <c r="I516" s="8"/>
      <c r="J516" s="8"/>
      <c r="K516" s="8"/>
      <c r="L516" s="8"/>
      <c r="M516" s="8"/>
      <c r="N516" s="8"/>
      <c r="O516" s="8"/>
      <c r="P516" s="9"/>
      <c r="Q516" s="9"/>
      <c r="R516" s="9"/>
      <c r="S516" s="8"/>
      <c r="T516" s="8"/>
      <c r="U516" s="8"/>
      <c r="V516" s="8"/>
      <c r="W516" s="8"/>
      <c r="X516" s="8"/>
      <c r="Y516" s="8"/>
      <c r="Z516" s="194"/>
      <c r="AA516" s="194"/>
      <c r="AB516" s="194"/>
      <c r="AC516" s="11"/>
      <c r="AD516" s="11"/>
      <c r="AE516" s="11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3"/>
      <c r="AY516" s="13"/>
      <c r="AZ516" s="13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</row>
    <row r="517" spans="1:63" ht="14.25" customHeight="1" x14ac:dyDescent="0.25">
      <c r="A517" s="9"/>
      <c r="B517" s="2"/>
      <c r="C517" s="2"/>
      <c r="D517" s="9"/>
      <c r="E517" s="9"/>
      <c r="F517" s="9"/>
      <c r="G517" s="9"/>
      <c r="H517" s="9"/>
      <c r="I517" s="8"/>
      <c r="J517" s="8"/>
      <c r="K517" s="8"/>
      <c r="L517" s="8"/>
      <c r="M517" s="8"/>
      <c r="N517" s="8"/>
      <c r="O517" s="8"/>
      <c r="P517" s="9"/>
      <c r="Q517" s="9"/>
      <c r="R517" s="9"/>
      <c r="S517" s="8"/>
      <c r="T517" s="8"/>
      <c r="U517" s="8"/>
      <c r="V517" s="8"/>
      <c r="W517" s="8"/>
      <c r="X517" s="8"/>
      <c r="Y517" s="8"/>
      <c r="Z517" s="194"/>
      <c r="AA517" s="194"/>
      <c r="AB517" s="194"/>
      <c r="AC517" s="11"/>
      <c r="AD517" s="11"/>
      <c r="AE517" s="11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3"/>
      <c r="AY517" s="13"/>
      <c r="AZ517" s="13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</row>
    <row r="518" spans="1:63" ht="14.25" customHeight="1" x14ac:dyDescent="0.25">
      <c r="A518" s="9"/>
      <c r="B518" s="2"/>
      <c r="C518" s="2"/>
      <c r="D518" s="9"/>
      <c r="E518" s="9"/>
      <c r="F518" s="9"/>
      <c r="G518" s="9"/>
      <c r="H518" s="9"/>
      <c r="I518" s="8"/>
      <c r="J518" s="8"/>
      <c r="K518" s="8"/>
      <c r="L518" s="8"/>
      <c r="M518" s="8"/>
      <c r="N518" s="8"/>
      <c r="O518" s="8"/>
      <c r="P518" s="9"/>
      <c r="Q518" s="9"/>
      <c r="R518" s="9"/>
      <c r="S518" s="8"/>
      <c r="T518" s="8"/>
      <c r="U518" s="8"/>
      <c r="V518" s="8"/>
      <c r="W518" s="8"/>
      <c r="X518" s="8"/>
      <c r="Y518" s="8"/>
      <c r="Z518" s="194"/>
      <c r="AA518" s="194"/>
      <c r="AB518" s="194"/>
      <c r="AC518" s="11"/>
      <c r="AD518" s="11"/>
      <c r="AE518" s="11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3"/>
      <c r="AY518" s="13"/>
      <c r="AZ518" s="13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</row>
    <row r="519" spans="1:63" ht="14.25" customHeight="1" x14ac:dyDescent="0.25">
      <c r="A519" s="9"/>
      <c r="B519" s="2"/>
      <c r="C519" s="2"/>
      <c r="D519" s="9"/>
      <c r="E519" s="9"/>
      <c r="F519" s="9"/>
      <c r="G519" s="9"/>
      <c r="H519" s="9"/>
      <c r="I519" s="8"/>
      <c r="J519" s="8"/>
      <c r="K519" s="8"/>
      <c r="L519" s="8"/>
      <c r="M519" s="8"/>
      <c r="N519" s="8"/>
      <c r="O519" s="8"/>
      <c r="P519" s="9"/>
      <c r="Q519" s="9"/>
      <c r="R519" s="9"/>
      <c r="S519" s="8"/>
      <c r="T519" s="8"/>
      <c r="U519" s="8"/>
      <c r="V519" s="8"/>
      <c r="W519" s="8"/>
      <c r="X519" s="8"/>
      <c r="Y519" s="8"/>
      <c r="Z519" s="194"/>
      <c r="AA519" s="194"/>
      <c r="AB519" s="194"/>
      <c r="AC519" s="11"/>
      <c r="AD519" s="11"/>
      <c r="AE519" s="11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3"/>
      <c r="AY519" s="13"/>
      <c r="AZ519" s="13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</row>
    <row r="520" spans="1:63" ht="14.25" customHeight="1" x14ac:dyDescent="0.25">
      <c r="A520" s="9"/>
      <c r="B520" s="2"/>
      <c r="C520" s="2"/>
      <c r="D520" s="9"/>
      <c r="E520" s="9"/>
      <c r="F520" s="9"/>
      <c r="G520" s="9"/>
      <c r="H520" s="9"/>
      <c r="I520" s="8"/>
      <c r="J520" s="8"/>
      <c r="K520" s="8"/>
      <c r="L520" s="8"/>
      <c r="M520" s="8"/>
      <c r="N520" s="8"/>
      <c r="O520" s="8"/>
      <c r="P520" s="9"/>
      <c r="Q520" s="9"/>
      <c r="R520" s="9"/>
      <c r="S520" s="8"/>
      <c r="T520" s="8"/>
      <c r="U520" s="8"/>
      <c r="V520" s="8"/>
      <c r="W520" s="8"/>
      <c r="X520" s="8"/>
      <c r="Y520" s="8"/>
      <c r="Z520" s="194"/>
      <c r="AA520" s="194"/>
      <c r="AB520" s="194"/>
      <c r="AC520" s="11"/>
      <c r="AD520" s="11"/>
      <c r="AE520" s="11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3"/>
      <c r="AY520" s="13"/>
      <c r="AZ520" s="13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</row>
    <row r="521" spans="1:63" ht="14.25" customHeight="1" x14ac:dyDescent="0.25">
      <c r="A521" s="9"/>
      <c r="B521" s="2"/>
      <c r="C521" s="2"/>
      <c r="D521" s="9"/>
      <c r="E521" s="9"/>
      <c r="F521" s="9"/>
      <c r="G521" s="9"/>
      <c r="H521" s="9"/>
      <c r="I521" s="8"/>
      <c r="J521" s="8"/>
      <c r="K521" s="8"/>
      <c r="L521" s="8"/>
      <c r="M521" s="8"/>
      <c r="N521" s="8"/>
      <c r="O521" s="8"/>
      <c r="P521" s="9"/>
      <c r="Q521" s="9"/>
      <c r="R521" s="9"/>
      <c r="S521" s="8"/>
      <c r="T521" s="8"/>
      <c r="U521" s="8"/>
      <c r="V521" s="8"/>
      <c r="W521" s="8"/>
      <c r="X521" s="8"/>
      <c r="Y521" s="8"/>
      <c r="Z521" s="194"/>
      <c r="AA521" s="194"/>
      <c r="AB521" s="194"/>
      <c r="AC521" s="11"/>
      <c r="AD521" s="11"/>
      <c r="AE521" s="11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3"/>
      <c r="AY521" s="13"/>
      <c r="AZ521" s="13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</row>
    <row r="522" spans="1:63" ht="14.25" customHeight="1" x14ac:dyDescent="0.25">
      <c r="A522" s="9"/>
      <c r="B522" s="2"/>
      <c r="C522" s="2"/>
      <c r="D522" s="9"/>
      <c r="E522" s="9"/>
      <c r="F522" s="9"/>
      <c r="G522" s="9"/>
      <c r="H522" s="9"/>
      <c r="I522" s="8"/>
      <c r="J522" s="8"/>
      <c r="K522" s="8"/>
      <c r="L522" s="8"/>
      <c r="M522" s="8"/>
      <c r="N522" s="8"/>
      <c r="O522" s="8"/>
      <c r="P522" s="9"/>
      <c r="Q522" s="9"/>
      <c r="R522" s="9"/>
      <c r="S522" s="8"/>
      <c r="T522" s="8"/>
      <c r="U522" s="8"/>
      <c r="V522" s="8"/>
      <c r="W522" s="8"/>
      <c r="X522" s="8"/>
      <c r="Y522" s="8"/>
      <c r="Z522" s="194"/>
      <c r="AA522" s="194"/>
      <c r="AB522" s="194"/>
      <c r="AC522" s="11"/>
      <c r="AD522" s="11"/>
      <c r="AE522" s="11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3"/>
      <c r="AY522" s="13"/>
      <c r="AZ522" s="13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</row>
    <row r="523" spans="1:63" ht="14.25" customHeight="1" x14ac:dyDescent="0.25">
      <c r="A523" s="9"/>
      <c r="B523" s="2"/>
      <c r="C523" s="2"/>
      <c r="D523" s="9"/>
      <c r="E523" s="9"/>
      <c r="F523" s="9"/>
      <c r="G523" s="9"/>
      <c r="H523" s="9"/>
      <c r="I523" s="8"/>
      <c r="J523" s="8"/>
      <c r="K523" s="8"/>
      <c r="L523" s="8"/>
      <c r="M523" s="8"/>
      <c r="N523" s="8"/>
      <c r="O523" s="8"/>
      <c r="P523" s="9"/>
      <c r="Q523" s="9"/>
      <c r="R523" s="9"/>
      <c r="S523" s="8"/>
      <c r="T523" s="8"/>
      <c r="U523" s="8"/>
      <c r="V523" s="8"/>
      <c r="W523" s="8"/>
      <c r="X523" s="8"/>
      <c r="Y523" s="8"/>
      <c r="Z523" s="194"/>
      <c r="AA523" s="194"/>
      <c r="AB523" s="194"/>
      <c r="AC523" s="11"/>
      <c r="AD523" s="11"/>
      <c r="AE523" s="11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3"/>
      <c r="AY523" s="13"/>
      <c r="AZ523" s="13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</row>
    <row r="524" spans="1:63" ht="14.25" customHeight="1" x14ac:dyDescent="0.25">
      <c r="A524" s="9"/>
      <c r="B524" s="2"/>
      <c r="C524" s="2"/>
      <c r="D524" s="9"/>
      <c r="E524" s="9"/>
      <c r="F524" s="9"/>
      <c r="G524" s="9"/>
      <c r="H524" s="9"/>
      <c r="I524" s="8"/>
      <c r="J524" s="8"/>
      <c r="K524" s="8"/>
      <c r="L524" s="8"/>
      <c r="M524" s="8"/>
      <c r="N524" s="8"/>
      <c r="O524" s="8"/>
      <c r="P524" s="9"/>
      <c r="Q524" s="9"/>
      <c r="R524" s="9"/>
      <c r="S524" s="8"/>
      <c r="T524" s="8"/>
      <c r="U524" s="8"/>
      <c r="V524" s="8"/>
      <c r="W524" s="8"/>
      <c r="X524" s="8"/>
      <c r="Y524" s="8"/>
      <c r="Z524" s="194"/>
      <c r="AA524" s="194"/>
      <c r="AB524" s="194"/>
      <c r="AC524" s="11"/>
      <c r="AD524" s="11"/>
      <c r="AE524" s="11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3"/>
      <c r="AY524" s="13"/>
      <c r="AZ524" s="13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</row>
    <row r="525" spans="1:63" ht="14.25" customHeight="1" x14ac:dyDescent="0.25">
      <c r="A525" s="9"/>
      <c r="B525" s="2"/>
      <c r="C525" s="2"/>
      <c r="D525" s="9"/>
      <c r="E525" s="9"/>
      <c r="F525" s="9"/>
      <c r="G525" s="9"/>
      <c r="H525" s="9"/>
      <c r="I525" s="8"/>
      <c r="J525" s="8"/>
      <c r="K525" s="8"/>
      <c r="L525" s="8"/>
      <c r="M525" s="8"/>
      <c r="N525" s="8"/>
      <c r="O525" s="8"/>
      <c r="P525" s="9"/>
      <c r="Q525" s="9"/>
      <c r="R525" s="9"/>
      <c r="S525" s="8"/>
      <c r="T525" s="8"/>
      <c r="U525" s="8"/>
      <c r="V525" s="8"/>
      <c r="W525" s="8"/>
      <c r="X525" s="8"/>
      <c r="Y525" s="8"/>
      <c r="Z525" s="194"/>
      <c r="AA525" s="194"/>
      <c r="AB525" s="194"/>
      <c r="AC525" s="11"/>
      <c r="AD525" s="11"/>
      <c r="AE525" s="11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3"/>
      <c r="AY525" s="13"/>
      <c r="AZ525" s="13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</row>
    <row r="526" spans="1:63" ht="14.25" customHeight="1" x14ac:dyDescent="0.25">
      <c r="A526" s="9"/>
      <c r="B526" s="2"/>
      <c r="C526" s="2"/>
      <c r="D526" s="9"/>
      <c r="E526" s="9"/>
      <c r="F526" s="9"/>
      <c r="G526" s="9"/>
      <c r="H526" s="9"/>
      <c r="I526" s="8"/>
      <c r="J526" s="8"/>
      <c r="K526" s="8"/>
      <c r="L526" s="8"/>
      <c r="M526" s="8"/>
      <c r="N526" s="8"/>
      <c r="O526" s="8"/>
      <c r="P526" s="9"/>
      <c r="Q526" s="9"/>
      <c r="R526" s="9"/>
      <c r="S526" s="8"/>
      <c r="T526" s="8"/>
      <c r="U526" s="8"/>
      <c r="V526" s="8"/>
      <c r="W526" s="8"/>
      <c r="X526" s="8"/>
      <c r="Y526" s="8"/>
      <c r="Z526" s="194"/>
      <c r="AA526" s="194"/>
      <c r="AB526" s="194"/>
      <c r="AC526" s="11"/>
      <c r="AD526" s="11"/>
      <c r="AE526" s="11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3"/>
      <c r="AY526" s="13"/>
      <c r="AZ526" s="13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</row>
    <row r="527" spans="1:63" ht="14.25" customHeight="1" x14ac:dyDescent="0.25">
      <c r="A527" s="9"/>
      <c r="B527" s="2"/>
      <c r="C527" s="2"/>
      <c r="D527" s="9"/>
      <c r="E527" s="9"/>
      <c r="F527" s="9"/>
      <c r="G527" s="9"/>
      <c r="H527" s="9"/>
      <c r="I527" s="8"/>
      <c r="J527" s="8"/>
      <c r="K527" s="8"/>
      <c r="L527" s="8"/>
      <c r="M527" s="8"/>
      <c r="N527" s="8"/>
      <c r="O527" s="8"/>
      <c r="P527" s="9"/>
      <c r="Q527" s="9"/>
      <c r="R527" s="9"/>
      <c r="S527" s="8"/>
      <c r="T527" s="8"/>
      <c r="U527" s="8"/>
      <c r="V527" s="8"/>
      <c r="W527" s="8"/>
      <c r="X527" s="8"/>
      <c r="Y527" s="8"/>
      <c r="Z527" s="194"/>
      <c r="AA527" s="194"/>
      <c r="AB527" s="194"/>
      <c r="AC527" s="11"/>
      <c r="AD527" s="11"/>
      <c r="AE527" s="11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3"/>
      <c r="AY527" s="13"/>
      <c r="AZ527" s="13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</row>
    <row r="528" spans="1:63" ht="14.25" customHeight="1" x14ac:dyDescent="0.25">
      <c r="A528" s="9"/>
      <c r="B528" s="2"/>
      <c r="C528" s="2"/>
      <c r="D528" s="9"/>
      <c r="E528" s="9"/>
      <c r="F528" s="9"/>
      <c r="G528" s="9"/>
      <c r="H528" s="9"/>
      <c r="I528" s="8"/>
      <c r="J528" s="8"/>
      <c r="K528" s="8"/>
      <c r="L528" s="8"/>
      <c r="M528" s="8"/>
      <c r="N528" s="8"/>
      <c r="O528" s="8"/>
      <c r="P528" s="9"/>
      <c r="Q528" s="9"/>
      <c r="R528" s="9"/>
      <c r="S528" s="8"/>
      <c r="T528" s="8"/>
      <c r="U528" s="8"/>
      <c r="V528" s="8"/>
      <c r="W528" s="8"/>
      <c r="X528" s="8"/>
      <c r="Y528" s="8"/>
      <c r="Z528" s="194"/>
      <c r="AA528" s="194"/>
      <c r="AB528" s="194"/>
      <c r="AC528" s="11"/>
      <c r="AD528" s="11"/>
      <c r="AE528" s="11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3"/>
      <c r="AY528" s="13"/>
      <c r="AZ528" s="13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</row>
    <row r="529" spans="1:63" ht="14.25" customHeight="1" x14ac:dyDescent="0.25">
      <c r="A529" s="9"/>
      <c r="B529" s="2"/>
      <c r="C529" s="2"/>
      <c r="D529" s="9"/>
      <c r="E529" s="9"/>
      <c r="F529" s="9"/>
      <c r="G529" s="9"/>
      <c r="H529" s="9"/>
      <c r="I529" s="8"/>
      <c r="J529" s="8"/>
      <c r="K529" s="8"/>
      <c r="L529" s="8"/>
      <c r="M529" s="8"/>
      <c r="N529" s="8"/>
      <c r="O529" s="8"/>
      <c r="P529" s="9"/>
      <c r="Q529" s="9"/>
      <c r="R529" s="9"/>
      <c r="S529" s="8"/>
      <c r="T529" s="8"/>
      <c r="U529" s="8"/>
      <c r="V529" s="8"/>
      <c r="W529" s="8"/>
      <c r="X529" s="8"/>
      <c r="Y529" s="8"/>
      <c r="Z529" s="194"/>
      <c r="AA529" s="194"/>
      <c r="AB529" s="194"/>
      <c r="AC529" s="11"/>
      <c r="AD529" s="11"/>
      <c r="AE529" s="11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3"/>
      <c r="AY529" s="13"/>
      <c r="AZ529" s="13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</row>
    <row r="530" spans="1:63" ht="14.25" customHeight="1" x14ac:dyDescent="0.25">
      <c r="A530" s="9"/>
      <c r="B530" s="2"/>
      <c r="C530" s="2"/>
      <c r="D530" s="9"/>
      <c r="E530" s="9"/>
      <c r="F530" s="9"/>
      <c r="G530" s="9"/>
      <c r="H530" s="9"/>
      <c r="I530" s="8"/>
      <c r="J530" s="8"/>
      <c r="K530" s="8"/>
      <c r="L530" s="8"/>
      <c r="M530" s="8"/>
      <c r="N530" s="8"/>
      <c r="O530" s="8"/>
      <c r="P530" s="9"/>
      <c r="Q530" s="9"/>
      <c r="R530" s="9"/>
      <c r="S530" s="8"/>
      <c r="T530" s="8"/>
      <c r="U530" s="8"/>
      <c r="V530" s="8"/>
      <c r="W530" s="8"/>
      <c r="X530" s="8"/>
      <c r="Y530" s="8"/>
      <c r="Z530" s="194"/>
      <c r="AA530" s="194"/>
      <c r="AB530" s="194"/>
      <c r="AC530" s="11"/>
      <c r="AD530" s="11"/>
      <c r="AE530" s="11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3"/>
      <c r="AY530" s="13"/>
      <c r="AZ530" s="13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</row>
    <row r="531" spans="1:63" ht="14.25" customHeight="1" x14ac:dyDescent="0.25">
      <c r="A531" s="9"/>
      <c r="B531" s="2"/>
      <c r="C531" s="2"/>
      <c r="D531" s="9"/>
      <c r="E531" s="9"/>
      <c r="F531" s="9"/>
      <c r="G531" s="9"/>
      <c r="H531" s="9"/>
      <c r="I531" s="8"/>
      <c r="J531" s="8"/>
      <c r="K531" s="8"/>
      <c r="L531" s="8"/>
      <c r="M531" s="8"/>
      <c r="N531" s="8"/>
      <c r="O531" s="8"/>
      <c r="P531" s="9"/>
      <c r="Q531" s="9"/>
      <c r="R531" s="9"/>
      <c r="S531" s="8"/>
      <c r="T531" s="8"/>
      <c r="U531" s="8"/>
      <c r="V531" s="8"/>
      <c r="W531" s="8"/>
      <c r="X531" s="8"/>
      <c r="Y531" s="8"/>
      <c r="Z531" s="194"/>
      <c r="AA531" s="194"/>
      <c r="AB531" s="194"/>
      <c r="AC531" s="11"/>
      <c r="AD531" s="11"/>
      <c r="AE531" s="11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3"/>
      <c r="AY531" s="13"/>
      <c r="AZ531" s="13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</row>
    <row r="532" spans="1:63" ht="14.25" customHeight="1" x14ac:dyDescent="0.25">
      <c r="A532" s="9"/>
      <c r="B532" s="2"/>
      <c r="C532" s="2"/>
      <c r="D532" s="9"/>
      <c r="E532" s="9"/>
      <c r="F532" s="9"/>
      <c r="G532" s="9"/>
      <c r="H532" s="9"/>
      <c r="I532" s="8"/>
      <c r="J532" s="8"/>
      <c r="K532" s="8"/>
      <c r="L532" s="8"/>
      <c r="M532" s="8"/>
      <c r="N532" s="8"/>
      <c r="O532" s="8"/>
      <c r="P532" s="9"/>
      <c r="Q532" s="9"/>
      <c r="R532" s="9"/>
      <c r="S532" s="8"/>
      <c r="T532" s="8"/>
      <c r="U532" s="8"/>
      <c r="V532" s="8"/>
      <c r="W532" s="8"/>
      <c r="X532" s="8"/>
      <c r="Y532" s="8"/>
      <c r="Z532" s="194"/>
      <c r="AA532" s="194"/>
      <c r="AB532" s="194"/>
      <c r="AC532" s="11"/>
      <c r="AD532" s="11"/>
      <c r="AE532" s="11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3"/>
      <c r="AY532" s="13"/>
      <c r="AZ532" s="13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</row>
    <row r="533" spans="1:63" ht="14.25" customHeight="1" x14ac:dyDescent="0.25">
      <c r="A533" s="9"/>
      <c r="B533" s="2"/>
      <c r="C533" s="2"/>
      <c r="D533" s="9"/>
      <c r="E533" s="9"/>
      <c r="F533" s="9"/>
      <c r="G533" s="9"/>
      <c r="H533" s="9"/>
      <c r="I533" s="8"/>
      <c r="J533" s="8"/>
      <c r="K533" s="8"/>
      <c r="L533" s="8"/>
      <c r="M533" s="8"/>
      <c r="N533" s="8"/>
      <c r="O533" s="8"/>
      <c r="P533" s="9"/>
      <c r="Q533" s="9"/>
      <c r="R533" s="9"/>
      <c r="S533" s="8"/>
      <c r="T533" s="8"/>
      <c r="U533" s="8"/>
      <c r="V533" s="8"/>
      <c r="W533" s="8"/>
      <c r="X533" s="8"/>
      <c r="Y533" s="8"/>
      <c r="Z533" s="194"/>
      <c r="AA533" s="194"/>
      <c r="AB533" s="194"/>
      <c r="AC533" s="11"/>
      <c r="AD533" s="11"/>
      <c r="AE533" s="11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3"/>
      <c r="AY533" s="13"/>
      <c r="AZ533" s="13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</row>
    <row r="534" spans="1:63" ht="14.25" customHeight="1" x14ac:dyDescent="0.25">
      <c r="A534" s="9"/>
      <c r="B534" s="2"/>
      <c r="C534" s="2"/>
      <c r="D534" s="9"/>
      <c r="E534" s="9"/>
      <c r="F534" s="9"/>
      <c r="G534" s="9"/>
      <c r="H534" s="9"/>
      <c r="I534" s="8"/>
      <c r="J534" s="8"/>
      <c r="K534" s="8"/>
      <c r="L534" s="8"/>
      <c r="M534" s="8"/>
      <c r="N534" s="8"/>
      <c r="O534" s="8"/>
      <c r="P534" s="9"/>
      <c r="Q534" s="9"/>
      <c r="R534" s="9"/>
      <c r="S534" s="8"/>
      <c r="T534" s="8"/>
      <c r="U534" s="8"/>
      <c r="V534" s="8"/>
      <c r="W534" s="8"/>
      <c r="X534" s="8"/>
      <c r="Y534" s="8"/>
      <c r="Z534" s="194"/>
      <c r="AA534" s="194"/>
      <c r="AB534" s="194"/>
      <c r="AC534" s="11"/>
      <c r="AD534" s="11"/>
      <c r="AE534" s="11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3"/>
      <c r="AY534" s="13"/>
      <c r="AZ534" s="13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</row>
    <row r="535" spans="1:63" ht="14.25" customHeight="1" x14ac:dyDescent="0.25">
      <c r="A535" s="9"/>
      <c r="B535" s="2"/>
      <c r="C535" s="3"/>
      <c r="D535" s="9"/>
      <c r="E535" s="9"/>
      <c r="F535" s="9"/>
      <c r="G535" s="9"/>
      <c r="H535" s="9"/>
      <c r="I535" s="8"/>
      <c r="J535" s="8"/>
      <c r="K535" s="8"/>
      <c r="L535" s="8"/>
      <c r="M535" s="8"/>
      <c r="N535" s="8"/>
      <c r="O535" s="8"/>
      <c r="P535" s="9"/>
      <c r="Q535" s="9"/>
      <c r="R535" s="9"/>
      <c r="S535" s="8"/>
      <c r="T535" s="8"/>
      <c r="U535" s="8"/>
      <c r="V535" s="8"/>
      <c r="W535" s="8"/>
      <c r="X535" s="8"/>
      <c r="Y535" s="8"/>
      <c r="Z535" s="194"/>
      <c r="AA535" s="194"/>
      <c r="AB535" s="194"/>
      <c r="AC535" s="11"/>
      <c r="AD535" s="11"/>
      <c r="AE535" s="11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3"/>
      <c r="AY535" s="13"/>
      <c r="AZ535" s="13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</row>
    <row r="536" spans="1:63" ht="14.25" customHeight="1" x14ac:dyDescent="0.25">
      <c r="A536" s="9"/>
      <c r="B536" s="2"/>
      <c r="C536" s="3"/>
      <c r="D536" s="9"/>
      <c r="E536" s="9"/>
      <c r="F536" s="9"/>
      <c r="G536" s="9"/>
      <c r="H536" s="9"/>
      <c r="I536" s="8"/>
      <c r="J536" s="8"/>
      <c r="K536" s="8"/>
      <c r="L536" s="8"/>
      <c r="M536" s="8"/>
      <c r="N536" s="8"/>
      <c r="O536" s="8"/>
      <c r="P536" s="9"/>
      <c r="Q536" s="9"/>
      <c r="R536" s="9"/>
      <c r="S536" s="8"/>
      <c r="T536" s="8"/>
      <c r="U536" s="8"/>
      <c r="V536" s="8"/>
      <c r="W536" s="8"/>
      <c r="X536" s="8"/>
      <c r="Y536" s="8"/>
      <c r="Z536" s="194"/>
      <c r="AA536" s="194"/>
      <c r="AB536" s="194"/>
      <c r="AC536" s="11"/>
      <c r="AD536" s="11"/>
      <c r="AE536" s="11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3"/>
      <c r="AY536" s="13"/>
      <c r="AZ536" s="13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</row>
    <row r="537" spans="1:63" ht="14.25" customHeight="1" x14ac:dyDescent="0.25">
      <c r="A537" s="9"/>
      <c r="B537" s="2"/>
      <c r="C537" s="3"/>
      <c r="D537" s="9"/>
      <c r="E537" s="9"/>
      <c r="F537" s="9"/>
      <c r="G537" s="9"/>
      <c r="H537" s="9"/>
      <c r="I537" s="8"/>
      <c r="J537" s="8"/>
      <c r="K537" s="8"/>
      <c r="L537" s="8"/>
      <c r="M537" s="8"/>
      <c r="N537" s="8"/>
      <c r="O537" s="8"/>
      <c r="P537" s="9"/>
      <c r="Q537" s="9"/>
      <c r="R537" s="9"/>
      <c r="S537" s="8"/>
      <c r="T537" s="8"/>
      <c r="U537" s="8"/>
      <c r="V537" s="8"/>
      <c r="W537" s="8"/>
      <c r="X537" s="8"/>
      <c r="Y537" s="8"/>
      <c r="Z537" s="194"/>
      <c r="AA537" s="194"/>
      <c r="AB537" s="194"/>
      <c r="AC537" s="11"/>
      <c r="AD537" s="11"/>
      <c r="AE537" s="11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3"/>
      <c r="AY537" s="13"/>
      <c r="AZ537" s="13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</row>
    <row r="538" spans="1:63" ht="14.25" customHeight="1" x14ac:dyDescent="0.25">
      <c r="A538" s="9"/>
      <c r="B538" s="2"/>
      <c r="C538" s="3"/>
      <c r="D538" s="9"/>
      <c r="E538" s="9"/>
      <c r="F538" s="9"/>
      <c r="G538" s="9"/>
      <c r="H538" s="9"/>
      <c r="I538" s="8"/>
      <c r="J538" s="8"/>
      <c r="K538" s="8"/>
      <c r="L538" s="8"/>
      <c r="M538" s="8"/>
      <c r="N538" s="8"/>
      <c r="O538" s="8"/>
      <c r="P538" s="9"/>
      <c r="Q538" s="9"/>
      <c r="R538" s="9"/>
      <c r="S538" s="8"/>
      <c r="T538" s="8"/>
      <c r="U538" s="8"/>
      <c r="V538" s="8"/>
      <c r="W538" s="8"/>
      <c r="X538" s="8"/>
      <c r="Y538" s="8"/>
      <c r="Z538" s="194"/>
      <c r="AA538" s="194"/>
      <c r="AB538" s="194"/>
      <c r="AC538" s="11"/>
      <c r="AD538" s="11"/>
      <c r="AE538" s="11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3"/>
      <c r="AY538" s="13"/>
      <c r="AZ538" s="13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</row>
    <row r="539" spans="1:63" ht="14.25" customHeight="1" x14ac:dyDescent="0.25">
      <c r="A539" s="9"/>
      <c r="B539" s="2"/>
      <c r="C539" s="3"/>
      <c r="D539" s="9"/>
      <c r="E539" s="9"/>
      <c r="F539" s="9"/>
      <c r="G539" s="9"/>
      <c r="H539" s="9"/>
      <c r="I539" s="8"/>
      <c r="J539" s="8"/>
      <c r="K539" s="8"/>
      <c r="L539" s="8"/>
      <c r="M539" s="8"/>
      <c r="N539" s="8"/>
      <c r="O539" s="8"/>
      <c r="P539" s="9"/>
      <c r="Q539" s="9"/>
      <c r="R539" s="9"/>
      <c r="S539" s="8"/>
      <c r="T539" s="8"/>
      <c r="U539" s="8"/>
      <c r="V539" s="8"/>
      <c r="W539" s="8"/>
      <c r="X539" s="8"/>
      <c r="Y539" s="8"/>
      <c r="Z539" s="194"/>
      <c r="AA539" s="194"/>
      <c r="AB539" s="194"/>
      <c r="AC539" s="11"/>
      <c r="AD539" s="11"/>
      <c r="AE539" s="11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3"/>
      <c r="AY539" s="13"/>
      <c r="AZ539" s="13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</row>
    <row r="540" spans="1:63" ht="14.25" customHeight="1" x14ac:dyDescent="0.25">
      <c r="A540" s="9"/>
      <c r="B540" s="2"/>
      <c r="C540" s="3"/>
      <c r="D540" s="9"/>
      <c r="E540" s="9"/>
      <c r="F540" s="9"/>
      <c r="G540" s="9"/>
      <c r="H540" s="9"/>
      <c r="I540" s="8"/>
      <c r="J540" s="8"/>
      <c r="K540" s="8"/>
      <c r="L540" s="8"/>
      <c r="M540" s="8"/>
      <c r="N540" s="8"/>
      <c r="O540" s="8"/>
      <c r="P540" s="9"/>
      <c r="Q540" s="9"/>
      <c r="R540" s="9"/>
      <c r="S540" s="8"/>
      <c r="T540" s="8"/>
      <c r="U540" s="8"/>
      <c r="V540" s="8"/>
      <c r="W540" s="8"/>
      <c r="X540" s="8"/>
      <c r="Y540" s="8"/>
      <c r="Z540" s="194"/>
      <c r="AA540" s="194"/>
      <c r="AB540" s="194"/>
      <c r="AC540" s="11"/>
      <c r="AD540" s="11"/>
      <c r="AE540" s="11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3"/>
      <c r="AY540" s="13"/>
      <c r="AZ540" s="13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</row>
    <row r="541" spans="1:63" ht="14.25" customHeight="1" x14ac:dyDescent="0.25">
      <c r="A541" s="9"/>
      <c r="B541" s="2"/>
      <c r="C541" s="3"/>
      <c r="D541" s="9"/>
      <c r="E541" s="9"/>
      <c r="F541" s="9"/>
      <c r="G541" s="9"/>
      <c r="H541" s="9"/>
      <c r="I541" s="8"/>
      <c r="J541" s="8"/>
      <c r="K541" s="8"/>
      <c r="L541" s="8"/>
      <c r="M541" s="8"/>
      <c r="N541" s="8"/>
      <c r="O541" s="8"/>
      <c r="P541" s="9"/>
      <c r="Q541" s="9"/>
      <c r="R541" s="9"/>
      <c r="S541" s="8"/>
      <c r="T541" s="8"/>
      <c r="U541" s="8"/>
      <c r="V541" s="8"/>
      <c r="W541" s="8"/>
      <c r="X541" s="8"/>
      <c r="Y541" s="8"/>
      <c r="Z541" s="194"/>
      <c r="AA541" s="194"/>
      <c r="AB541" s="194"/>
      <c r="AC541" s="11"/>
      <c r="AD541" s="11"/>
      <c r="AE541" s="11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3"/>
      <c r="AY541" s="13"/>
      <c r="AZ541" s="13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</row>
    <row r="542" spans="1:63" ht="14.25" customHeight="1" x14ac:dyDescent="0.25">
      <c r="A542" s="9"/>
      <c r="B542" s="2"/>
      <c r="C542" s="3"/>
      <c r="D542" s="9"/>
      <c r="E542" s="9"/>
      <c r="F542" s="9"/>
      <c r="G542" s="9"/>
      <c r="H542" s="9"/>
      <c r="I542" s="8"/>
      <c r="J542" s="8"/>
      <c r="K542" s="8"/>
      <c r="L542" s="8"/>
      <c r="M542" s="8"/>
      <c r="N542" s="8"/>
      <c r="O542" s="8"/>
      <c r="P542" s="9"/>
      <c r="Q542" s="9"/>
      <c r="R542" s="9"/>
      <c r="S542" s="8"/>
      <c r="T542" s="8"/>
      <c r="U542" s="8"/>
      <c r="V542" s="8"/>
      <c r="W542" s="8"/>
      <c r="X542" s="8"/>
      <c r="Y542" s="8"/>
      <c r="Z542" s="194"/>
      <c r="AA542" s="194"/>
      <c r="AB542" s="194"/>
      <c r="AC542" s="11"/>
      <c r="AD542" s="11"/>
      <c r="AE542" s="11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3"/>
      <c r="AY542" s="13"/>
      <c r="AZ542" s="13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</row>
    <row r="543" spans="1:63" ht="14.25" customHeight="1" x14ac:dyDescent="0.25">
      <c r="A543" s="9"/>
      <c r="B543" s="2"/>
      <c r="C543" s="3"/>
      <c r="D543" s="9"/>
      <c r="E543" s="9"/>
      <c r="F543" s="9"/>
      <c r="G543" s="9"/>
      <c r="H543" s="9"/>
      <c r="I543" s="8"/>
      <c r="J543" s="8"/>
      <c r="K543" s="8"/>
      <c r="L543" s="8"/>
      <c r="M543" s="8"/>
      <c r="N543" s="8"/>
      <c r="O543" s="8"/>
      <c r="P543" s="9"/>
      <c r="Q543" s="9"/>
      <c r="R543" s="9"/>
      <c r="S543" s="8"/>
      <c r="T543" s="8"/>
      <c r="U543" s="8"/>
      <c r="V543" s="8"/>
      <c r="W543" s="8"/>
      <c r="X543" s="8"/>
      <c r="Y543" s="8"/>
      <c r="Z543" s="194"/>
      <c r="AA543" s="194"/>
      <c r="AB543" s="194"/>
      <c r="AC543" s="11"/>
      <c r="AD543" s="11"/>
      <c r="AE543" s="11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3"/>
      <c r="AY543" s="13"/>
      <c r="AZ543" s="13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</row>
    <row r="544" spans="1:63" ht="14.25" customHeight="1" x14ac:dyDescent="0.25">
      <c r="A544" s="9"/>
      <c r="B544" s="2"/>
      <c r="C544" s="3"/>
      <c r="D544" s="9"/>
      <c r="E544" s="9"/>
      <c r="F544" s="9"/>
      <c r="G544" s="9"/>
      <c r="H544" s="9"/>
      <c r="I544" s="8"/>
      <c r="J544" s="8"/>
      <c r="K544" s="8"/>
      <c r="L544" s="8"/>
      <c r="M544" s="8"/>
      <c r="N544" s="8"/>
      <c r="O544" s="8"/>
      <c r="P544" s="9"/>
      <c r="Q544" s="9"/>
      <c r="R544" s="9"/>
      <c r="S544" s="8"/>
      <c r="T544" s="8"/>
      <c r="U544" s="8"/>
      <c r="V544" s="8"/>
      <c r="W544" s="8"/>
      <c r="X544" s="8"/>
      <c r="Y544" s="8"/>
      <c r="Z544" s="194"/>
      <c r="AA544" s="194"/>
      <c r="AB544" s="194"/>
      <c r="AC544" s="11"/>
      <c r="AD544" s="11"/>
      <c r="AE544" s="11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3"/>
      <c r="AY544" s="13"/>
      <c r="AZ544" s="13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</row>
    <row r="545" spans="1:63" ht="14.25" customHeight="1" x14ac:dyDescent="0.25">
      <c r="A545" s="9"/>
      <c r="B545" s="2"/>
      <c r="C545" s="3"/>
      <c r="D545" s="9"/>
      <c r="E545" s="9"/>
      <c r="F545" s="9"/>
      <c r="G545" s="9"/>
      <c r="H545" s="9"/>
      <c r="I545" s="8"/>
      <c r="J545" s="8"/>
      <c r="K545" s="8"/>
      <c r="L545" s="8"/>
      <c r="M545" s="8"/>
      <c r="N545" s="8"/>
      <c r="O545" s="8"/>
      <c r="P545" s="9"/>
      <c r="Q545" s="9"/>
      <c r="R545" s="9"/>
      <c r="S545" s="8"/>
      <c r="T545" s="8"/>
      <c r="U545" s="8"/>
      <c r="V545" s="8"/>
      <c r="W545" s="8"/>
      <c r="X545" s="8"/>
      <c r="Y545" s="8"/>
      <c r="Z545" s="194"/>
      <c r="AA545" s="194"/>
      <c r="AB545" s="194"/>
      <c r="AC545" s="11"/>
      <c r="AD545" s="11"/>
      <c r="AE545" s="11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3"/>
      <c r="AY545" s="13"/>
      <c r="AZ545" s="13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</row>
    <row r="546" spans="1:63" ht="14.25" customHeight="1" x14ac:dyDescent="0.25">
      <c r="A546" s="9"/>
      <c r="B546" s="2"/>
      <c r="C546" s="3"/>
      <c r="D546" s="9"/>
      <c r="E546" s="9"/>
      <c r="F546" s="9"/>
      <c r="G546" s="9"/>
      <c r="H546" s="9"/>
      <c r="I546" s="8"/>
      <c r="J546" s="8"/>
      <c r="K546" s="8"/>
      <c r="L546" s="8"/>
      <c r="M546" s="8"/>
      <c r="N546" s="8"/>
      <c r="O546" s="8"/>
      <c r="P546" s="9"/>
      <c r="Q546" s="9"/>
      <c r="R546" s="9"/>
      <c r="S546" s="8"/>
      <c r="T546" s="8"/>
      <c r="U546" s="8"/>
      <c r="V546" s="8"/>
      <c r="W546" s="8"/>
      <c r="X546" s="8"/>
      <c r="Y546" s="8"/>
      <c r="Z546" s="194"/>
      <c r="AA546" s="194"/>
      <c r="AB546" s="194"/>
      <c r="AC546" s="11"/>
      <c r="AD546" s="11"/>
      <c r="AE546" s="11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3"/>
      <c r="AY546" s="13"/>
      <c r="AZ546" s="13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</row>
    <row r="547" spans="1:63" ht="14.25" customHeight="1" x14ac:dyDescent="0.25">
      <c r="A547" s="9"/>
      <c r="B547" s="2"/>
      <c r="C547" s="3"/>
      <c r="D547" s="9"/>
      <c r="E547" s="9"/>
      <c r="F547" s="9"/>
      <c r="G547" s="9"/>
      <c r="H547" s="9"/>
      <c r="I547" s="8"/>
      <c r="J547" s="8"/>
      <c r="K547" s="8"/>
      <c r="L547" s="8"/>
      <c r="M547" s="8"/>
      <c r="N547" s="8"/>
      <c r="O547" s="8"/>
      <c r="P547" s="9"/>
      <c r="Q547" s="9"/>
      <c r="R547" s="9"/>
      <c r="S547" s="8"/>
      <c r="T547" s="8"/>
      <c r="U547" s="8"/>
      <c r="V547" s="8"/>
      <c r="W547" s="8"/>
      <c r="X547" s="8"/>
      <c r="Y547" s="8"/>
      <c r="Z547" s="194"/>
      <c r="AA547" s="194"/>
      <c r="AB547" s="194"/>
      <c r="AC547" s="11"/>
      <c r="AD547" s="11"/>
      <c r="AE547" s="11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3"/>
      <c r="AY547" s="13"/>
      <c r="AZ547" s="13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</row>
    <row r="548" spans="1:63" ht="14.25" customHeight="1" x14ac:dyDescent="0.25">
      <c r="A548" s="9"/>
      <c r="B548" s="2"/>
      <c r="C548" s="3"/>
      <c r="D548" s="9"/>
      <c r="E548" s="9"/>
      <c r="F548" s="9"/>
      <c r="G548" s="9"/>
      <c r="H548" s="9"/>
      <c r="I548" s="8"/>
      <c r="J548" s="8"/>
      <c r="K548" s="8"/>
      <c r="L548" s="8"/>
      <c r="M548" s="8"/>
      <c r="N548" s="8"/>
      <c r="O548" s="8"/>
      <c r="P548" s="9"/>
      <c r="Q548" s="9"/>
      <c r="R548" s="9"/>
      <c r="S548" s="8"/>
      <c r="T548" s="8"/>
      <c r="U548" s="8"/>
      <c r="V548" s="8"/>
      <c r="W548" s="8"/>
      <c r="X548" s="8"/>
      <c r="Y548" s="8"/>
      <c r="Z548" s="194"/>
      <c r="AA548" s="194"/>
      <c r="AB548" s="194"/>
      <c r="AC548" s="11"/>
      <c r="AD548" s="11"/>
      <c r="AE548" s="11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3"/>
      <c r="AY548" s="13"/>
      <c r="AZ548" s="13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</row>
    <row r="549" spans="1:63" ht="14.25" customHeight="1" x14ac:dyDescent="0.25">
      <c r="A549" s="9"/>
      <c r="B549" s="2"/>
      <c r="C549" s="3"/>
      <c r="D549" s="9"/>
      <c r="E549" s="9"/>
      <c r="F549" s="9"/>
      <c r="G549" s="9"/>
      <c r="H549" s="9"/>
      <c r="I549" s="8"/>
      <c r="J549" s="8"/>
      <c r="K549" s="8"/>
      <c r="L549" s="8"/>
      <c r="M549" s="8"/>
      <c r="N549" s="8"/>
      <c r="O549" s="8"/>
      <c r="P549" s="9"/>
      <c r="Q549" s="9"/>
      <c r="R549" s="9"/>
      <c r="S549" s="8"/>
      <c r="T549" s="8"/>
      <c r="U549" s="8"/>
      <c r="V549" s="8"/>
      <c r="W549" s="8"/>
      <c r="X549" s="8"/>
      <c r="Y549" s="8"/>
      <c r="Z549" s="194"/>
      <c r="AA549" s="194"/>
      <c r="AB549" s="194"/>
      <c r="AC549" s="11"/>
      <c r="AD549" s="11"/>
      <c r="AE549" s="11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3"/>
      <c r="AY549" s="13"/>
      <c r="AZ549" s="13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</row>
    <row r="550" spans="1:63" ht="14.25" customHeight="1" x14ac:dyDescent="0.25">
      <c r="A550" s="9"/>
      <c r="B550" s="2"/>
      <c r="C550" s="3"/>
      <c r="D550" s="9"/>
      <c r="E550" s="9"/>
      <c r="F550" s="9"/>
      <c r="G550" s="9"/>
      <c r="H550" s="9"/>
      <c r="I550" s="8"/>
      <c r="J550" s="8"/>
      <c r="K550" s="8"/>
      <c r="L550" s="8"/>
      <c r="M550" s="8"/>
      <c r="N550" s="8"/>
      <c r="O550" s="8"/>
      <c r="P550" s="9"/>
      <c r="Q550" s="9"/>
      <c r="R550" s="9"/>
      <c r="S550" s="8"/>
      <c r="T550" s="8"/>
      <c r="U550" s="8"/>
      <c r="V550" s="8"/>
      <c r="W550" s="8"/>
      <c r="X550" s="8"/>
      <c r="Y550" s="8"/>
      <c r="Z550" s="194"/>
      <c r="AA550" s="194"/>
      <c r="AB550" s="194"/>
      <c r="AC550" s="11"/>
      <c r="AD550" s="11"/>
      <c r="AE550" s="11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3"/>
      <c r="AY550" s="13"/>
      <c r="AZ550" s="13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</row>
    <row r="551" spans="1:63" ht="14.25" customHeight="1" x14ac:dyDescent="0.25">
      <c r="A551" s="9"/>
      <c r="B551" s="2"/>
      <c r="C551" s="3"/>
      <c r="D551" s="9"/>
      <c r="E551" s="9"/>
      <c r="F551" s="9"/>
      <c r="G551" s="9"/>
      <c r="H551" s="9"/>
      <c r="I551" s="8"/>
      <c r="J551" s="8"/>
      <c r="K551" s="8"/>
      <c r="L551" s="8"/>
      <c r="M551" s="8"/>
      <c r="N551" s="8"/>
      <c r="O551" s="8"/>
      <c r="P551" s="9"/>
      <c r="Q551" s="9"/>
      <c r="R551" s="9"/>
      <c r="S551" s="8"/>
      <c r="T551" s="8"/>
      <c r="U551" s="8"/>
      <c r="V551" s="8"/>
      <c r="W551" s="8"/>
      <c r="X551" s="8"/>
      <c r="Y551" s="8"/>
      <c r="Z551" s="194"/>
      <c r="AA551" s="194"/>
      <c r="AB551" s="194"/>
      <c r="AC551" s="11"/>
      <c r="AD551" s="11"/>
      <c r="AE551" s="11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3"/>
      <c r="AY551" s="13"/>
      <c r="AZ551" s="13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</row>
    <row r="552" spans="1:63" ht="14.25" customHeight="1" x14ac:dyDescent="0.25">
      <c r="A552" s="9"/>
      <c r="B552" s="2"/>
      <c r="C552" s="3"/>
      <c r="D552" s="9"/>
      <c r="E552" s="9"/>
      <c r="F552" s="9"/>
      <c r="G552" s="9"/>
      <c r="H552" s="9"/>
      <c r="I552" s="8"/>
      <c r="J552" s="8"/>
      <c r="K552" s="8"/>
      <c r="L552" s="8"/>
      <c r="M552" s="8"/>
      <c r="N552" s="8"/>
      <c r="O552" s="8"/>
      <c r="P552" s="9"/>
      <c r="Q552" s="9"/>
      <c r="R552" s="9"/>
      <c r="S552" s="8"/>
      <c r="T552" s="8"/>
      <c r="U552" s="8"/>
      <c r="V552" s="8"/>
      <c r="W552" s="8"/>
      <c r="X552" s="8"/>
      <c r="Y552" s="8"/>
      <c r="Z552" s="194"/>
      <c r="AA552" s="194"/>
      <c r="AB552" s="194"/>
      <c r="AC552" s="11"/>
      <c r="AD552" s="11"/>
      <c r="AE552" s="11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3"/>
      <c r="AY552" s="13"/>
      <c r="AZ552" s="13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</row>
    <row r="553" spans="1:63" ht="14.25" customHeight="1" x14ac:dyDescent="0.25">
      <c r="A553" s="9"/>
      <c r="B553" s="2"/>
      <c r="C553" s="3"/>
      <c r="D553" s="9"/>
      <c r="E553" s="9"/>
      <c r="F553" s="9"/>
      <c r="G553" s="9"/>
      <c r="H553" s="9"/>
      <c r="I553" s="8"/>
      <c r="J553" s="8"/>
      <c r="K553" s="8"/>
      <c r="L553" s="8"/>
      <c r="M553" s="8"/>
      <c r="N553" s="8"/>
      <c r="O553" s="8"/>
      <c r="P553" s="9"/>
      <c r="Q553" s="9"/>
      <c r="R553" s="9"/>
      <c r="S553" s="8"/>
      <c r="T553" s="8"/>
      <c r="U553" s="8"/>
      <c r="V553" s="8"/>
      <c r="W553" s="8"/>
      <c r="X553" s="8"/>
      <c r="Y553" s="8"/>
      <c r="Z553" s="194"/>
      <c r="AA553" s="194"/>
      <c r="AB553" s="194"/>
      <c r="AC553" s="11"/>
      <c r="AD553" s="11"/>
      <c r="AE553" s="11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3"/>
      <c r="AY553" s="13"/>
      <c r="AZ553" s="13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</row>
    <row r="554" spans="1:63" ht="14.25" customHeight="1" x14ac:dyDescent="0.25">
      <c r="A554" s="9"/>
      <c r="B554" s="2"/>
      <c r="C554" s="3"/>
      <c r="D554" s="9"/>
      <c r="E554" s="9"/>
      <c r="F554" s="9"/>
      <c r="G554" s="9"/>
      <c r="H554" s="9"/>
      <c r="I554" s="8"/>
      <c r="J554" s="8"/>
      <c r="K554" s="8"/>
      <c r="L554" s="8"/>
      <c r="M554" s="8"/>
      <c r="N554" s="8"/>
      <c r="O554" s="8"/>
      <c r="P554" s="9"/>
      <c r="Q554" s="9"/>
      <c r="R554" s="9"/>
      <c r="S554" s="8"/>
      <c r="T554" s="8"/>
      <c r="U554" s="8"/>
      <c r="V554" s="8"/>
      <c r="W554" s="8"/>
      <c r="X554" s="8"/>
      <c r="Y554" s="8"/>
      <c r="Z554" s="194"/>
      <c r="AA554" s="194"/>
      <c r="AB554" s="194"/>
      <c r="AC554" s="11"/>
      <c r="AD554" s="11"/>
      <c r="AE554" s="11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3"/>
      <c r="AY554" s="13"/>
      <c r="AZ554" s="13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</row>
    <row r="555" spans="1:63" ht="14.25" customHeight="1" x14ac:dyDescent="0.25">
      <c r="A555" s="9"/>
      <c r="B555" s="2"/>
      <c r="C555" s="3"/>
      <c r="D555" s="9"/>
      <c r="E555" s="9"/>
      <c r="F555" s="9"/>
      <c r="G555" s="9"/>
      <c r="H555" s="9"/>
      <c r="I555" s="8"/>
      <c r="J555" s="8"/>
      <c r="K555" s="8"/>
      <c r="L555" s="8"/>
      <c r="M555" s="8"/>
      <c r="N555" s="8"/>
      <c r="O555" s="8"/>
      <c r="P555" s="9"/>
      <c r="Q555" s="9"/>
      <c r="R555" s="9"/>
      <c r="S555" s="8"/>
      <c r="T555" s="8"/>
      <c r="U555" s="8"/>
      <c r="V555" s="8"/>
      <c r="W555" s="8"/>
      <c r="X555" s="8"/>
      <c r="Y555" s="8"/>
      <c r="Z555" s="194"/>
      <c r="AA555" s="194"/>
      <c r="AB555" s="194"/>
      <c r="AC555" s="11"/>
      <c r="AD555" s="11"/>
      <c r="AE555" s="11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3"/>
      <c r="AY555" s="13"/>
      <c r="AZ555" s="13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</row>
    <row r="556" spans="1:63" ht="14.25" customHeight="1" x14ac:dyDescent="0.25">
      <c r="A556" s="9"/>
      <c r="B556" s="2"/>
      <c r="C556" s="3"/>
      <c r="D556" s="9"/>
      <c r="E556" s="9"/>
      <c r="F556" s="9"/>
      <c r="G556" s="9"/>
      <c r="H556" s="9"/>
      <c r="I556" s="8"/>
      <c r="J556" s="8"/>
      <c r="K556" s="8"/>
      <c r="L556" s="8"/>
      <c r="M556" s="8"/>
      <c r="N556" s="8"/>
      <c r="O556" s="8"/>
      <c r="P556" s="9"/>
      <c r="Q556" s="9"/>
      <c r="R556" s="9"/>
      <c r="S556" s="8"/>
      <c r="T556" s="8"/>
      <c r="U556" s="8"/>
      <c r="V556" s="8"/>
      <c r="W556" s="8"/>
      <c r="X556" s="8"/>
      <c r="Y556" s="8"/>
      <c r="Z556" s="194"/>
      <c r="AA556" s="194"/>
      <c r="AB556" s="194"/>
      <c r="AC556" s="11"/>
      <c r="AD556" s="11"/>
      <c r="AE556" s="11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3"/>
      <c r="AY556" s="13"/>
      <c r="AZ556" s="13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</row>
    <row r="557" spans="1:63" ht="14.25" customHeight="1" x14ac:dyDescent="0.25">
      <c r="A557" s="9"/>
      <c r="B557" s="2"/>
      <c r="C557" s="3"/>
      <c r="D557" s="9"/>
      <c r="E557" s="9"/>
      <c r="F557" s="9"/>
      <c r="G557" s="9"/>
      <c r="H557" s="9"/>
      <c r="I557" s="8"/>
      <c r="J557" s="8"/>
      <c r="K557" s="8"/>
      <c r="L557" s="8"/>
      <c r="M557" s="8"/>
      <c r="N557" s="8"/>
      <c r="O557" s="8"/>
      <c r="P557" s="9"/>
      <c r="Q557" s="9"/>
      <c r="R557" s="9"/>
      <c r="S557" s="8"/>
      <c r="T557" s="8"/>
      <c r="U557" s="8"/>
      <c r="V557" s="8"/>
      <c r="W557" s="8"/>
      <c r="X557" s="8"/>
      <c r="Y557" s="8"/>
      <c r="Z557" s="194"/>
      <c r="AA557" s="194"/>
      <c r="AB557" s="194"/>
      <c r="AC557" s="11"/>
      <c r="AD557" s="11"/>
      <c r="AE557" s="11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3"/>
      <c r="AY557" s="13"/>
      <c r="AZ557" s="13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</row>
    <row r="558" spans="1:63" ht="14.25" customHeight="1" x14ac:dyDescent="0.25">
      <c r="A558" s="9"/>
      <c r="B558" s="2"/>
      <c r="C558" s="3"/>
      <c r="D558" s="9"/>
      <c r="E558" s="9"/>
      <c r="F558" s="9"/>
      <c r="G558" s="9"/>
      <c r="H558" s="9"/>
      <c r="I558" s="8"/>
      <c r="J558" s="8"/>
      <c r="K558" s="8"/>
      <c r="L558" s="8"/>
      <c r="M558" s="8"/>
      <c r="N558" s="8"/>
      <c r="O558" s="8"/>
      <c r="P558" s="9"/>
      <c r="Q558" s="9"/>
      <c r="R558" s="9"/>
      <c r="S558" s="8"/>
      <c r="T558" s="8"/>
      <c r="U558" s="8"/>
      <c r="V558" s="8"/>
      <c r="W558" s="8"/>
      <c r="X558" s="8"/>
      <c r="Y558" s="8"/>
      <c r="Z558" s="194"/>
      <c r="AA558" s="194"/>
      <c r="AB558" s="194"/>
      <c r="AC558" s="11"/>
      <c r="AD558" s="11"/>
      <c r="AE558" s="11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3"/>
      <c r="AY558" s="13"/>
      <c r="AZ558" s="13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</row>
    <row r="559" spans="1:63" ht="14.25" customHeight="1" x14ac:dyDescent="0.25">
      <c r="A559" s="9"/>
      <c r="B559" s="2"/>
      <c r="C559" s="3"/>
      <c r="D559" s="9"/>
      <c r="E559" s="9"/>
      <c r="F559" s="9"/>
      <c r="G559" s="9"/>
      <c r="H559" s="9"/>
      <c r="I559" s="8"/>
      <c r="J559" s="8"/>
      <c r="K559" s="8"/>
      <c r="L559" s="8"/>
      <c r="M559" s="8"/>
      <c r="N559" s="8"/>
      <c r="O559" s="8"/>
      <c r="P559" s="9"/>
      <c r="Q559" s="9"/>
      <c r="R559" s="9"/>
      <c r="S559" s="8"/>
      <c r="T559" s="8"/>
      <c r="U559" s="8"/>
      <c r="V559" s="8"/>
      <c r="W559" s="8"/>
      <c r="X559" s="8"/>
      <c r="Y559" s="8"/>
      <c r="Z559" s="194"/>
      <c r="AA559" s="194"/>
      <c r="AB559" s="194"/>
      <c r="AC559" s="11"/>
      <c r="AD559" s="11"/>
      <c r="AE559" s="11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3"/>
      <c r="AY559" s="13"/>
      <c r="AZ559" s="13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</row>
    <row r="560" spans="1:63" ht="14.25" customHeight="1" x14ac:dyDescent="0.25">
      <c r="A560" s="9"/>
      <c r="B560" s="2"/>
      <c r="C560" s="3"/>
      <c r="D560" s="9"/>
      <c r="E560" s="9"/>
      <c r="F560" s="9"/>
      <c r="G560" s="9"/>
      <c r="H560" s="9"/>
      <c r="I560" s="8"/>
      <c r="J560" s="8"/>
      <c r="K560" s="8"/>
      <c r="L560" s="8"/>
      <c r="M560" s="8"/>
      <c r="N560" s="8"/>
      <c r="O560" s="8"/>
      <c r="P560" s="9"/>
      <c r="Q560" s="9"/>
      <c r="R560" s="9"/>
      <c r="S560" s="8"/>
      <c r="T560" s="8"/>
      <c r="U560" s="8"/>
      <c r="V560" s="8"/>
      <c r="W560" s="8"/>
      <c r="X560" s="8"/>
      <c r="Y560" s="8"/>
      <c r="Z560" s="194"/>
      <c r="AA560" s="194"/>
      <c r="AB560" s="194"/>
      <c r="AC560" s="11"/>
      <c r="AD560" s="11"/>
      <c r="AE560" s="11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3"/>
      <c r="AY560" s="13"/>
      <c r="AZ560" s="13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</row>
    <row r="561" spans="1:63" ht="14.25" customHeight="1" x14ac:dyDescent="0.25">
      <c r="A561" s="9"/>
      <c r="B561" s="2"/>
      <c r="C561" s="3"/>
      <c r="D561" s="9"/>
      <c r="E561" s="9"/>
      <c r="F561" s="9"/>
      <c r="G561" s="9"/>
      <c r="H561" s="9"/>
      <c r="I561" s="8"/>
      <c r="J561" s="8"/>
      <c r="K561" s="8"/>
      <c r="L561" s="8"/>
      <c r="M561" s="8"/>
      <c r="N561" s="8"/>
      <c r="O561" s="8"/>
      <c r="P561" s="9"/>
      <c r="Q561" s="9"/>
      <c r="R561" s="9"/>
      <c r="S561" s="8"/>
      <c r="T561" s="8"/>
      <c r="U561" s="8"/>
      <c r="V561" s="8"/>
      <c r="W561" s="8"/>
      <c r="X561" s="8"/>
      <c r="Y561" s="8"/>
      <c r="Z561" s="194"/>
      <c r="AA561" s="194"/>
      <c r="AB561" s="194"/>
      <c r="AC561" s="11"/>
      <c r="AD561" s="11"/>
      <c r="AE561" s="11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3"/>
      <c r="AY561" s="13"/>
      <c r="AZ561" s="13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</row>
    <row r="562" spans="1:63" ht="14.25" customHeight="1" x14ac:dyDescent="0.25">
      <c r="A562" s="9"/>
      <c r="B562" s="2"/>
      <c r="C562" s="3"/>
      <c r="D562" s="9"/>
      <c r="E562" s="9"/>
      <c r="F562" s="9"/>
      <c r="G562" s="9"/>
      <c r="H562" s="9"/>
      <c r="I562" s="8"/>
      <c r="J562" s="8"/>
      <c r="K562" s="8"/>
      <c r="L562" s="8"/>
      <c r="M562" s="8"/>
      <c r="N562" s="8"/>
      <c r="O562" s="8"/>
      <c r="P562" s="9"/>
      <c r="Q562" s="9"/>
      <c r="R562" s="9"/>
      <c r="S562" s="8"/>
      <c r="T562" s="8"/>
      <c r="U562" s="8"/>
      <c r="V562" s="8"/>
      <c r="W562" s="8"/>
      <c r="X562" s="8"/>
      <c r="Y562" s="8"/>
      <c r="Z562" s="194"/>
      <c r="AA562" s="194"/>
      <c r="AB562" s="194"/>
      <c r="AC562" s="11"/>
      <c r="AD562" s="11"/>
      <c r="AE562" s="11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3"/>
      <c r="AY562" s="13"/>
      <c r="AZ562" s="13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</row>
    <row r="563" spans="1:63" ht="14.25" customHeight="1" x14ac:dyDescent="0.25">
      <c r="A563" s="9"/>
      <c r="B563" s="2"/>
      <c r="C563" s="3"/>
      <c r="D563" s="9"/>
      <c r="E563" s="9"/>
      <c r="F563" s="9"/>
      <c r="G563" s="9"/>
      <c r="H563" s="9"/>
      <c r="I563" s="8"/>
      <c r="J563" s="8"/>
      <c r="K563" s="8"/>
      <c r="L563" s="8"/>
      <c r="M563" s="8"/>
      <c r="N563" s="8"/>
      <c r="O563" s="8"/>
      <c r="P563" s="9"/>
      <c r="Q563" s="9"/>
      <c r="R563" s="9"/>
      <c r="S563" s="8"/>
      <c r="T563" s="8"/>
      <c r="U563" s="8"/>
      <c r="V563" s="8"/>
      <c r="W563" s="8"/>
      <c r="X563" s="8"/>
      <c r="Y563" s="8"/>
      <c r="Z563" s="194"/>
      <c r="AA563" s="194"/>
      <c r="AB563" s="194"/>
      <c r="AC563" s="11"/>
      <c r="AD563" s="11"/>
      <c r="AE563" s="11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3"/>
      <c r="AY563" s="13"/>
      <c r="AZ563" s="13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</row>
    <row r="564" spans="1:63" ht="14.25" customHeight="1" x14ac:dyDescent="0.25">
      <c r="A564" s="9"/>
      <c r="B564" s="2"/>
      <c r="C564" s="3"/>
      <c r="D564" s="9"/>
      <c r="E564" s="9"/>
      <c r="F564" s="9"/>
      <c r="G564" s="9"/>
      <c r="H564" s="9"/>
      <c r="I564" s="8"/>
      <c r="J564" s="8"/>
      <c r="K564" s="8"/>
      <c r="L564" s="8"/>
      <c r="M564" s="8"/>
      <c r="N564" s="8"/>
      <c r="O564" s="8"/>
      <c r="P564" s="9"/>
      <c r="Q564" s="9"/>
      <c r="R564" s="9"/>
      <c r="S564" s="8"/>
      <c r="T564" s="8"/>
      <c r="U564" s="8"/>
      <c r="V564" s="8"/>
      <c r="W564" s="8"/>
      <c r="X564" s="8"/>
      <c r="Y564" s="8"/>
      <c r="Z564" s="194"/>
      <c r="AA564" s="194"/>
      <c r="AB564" s="194"/>
      <c r="AC564" s="11"/>
      <c r="AD564" s="11"/>
      <c r="AE564" s="11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3"/>
      <c r="AY564" s="13"/>
      <c r="AZ564" s="13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</row>
    <row r="565" spans="1:63" ht="14.25" customHeight="1" x14ac:dyDescent="0.25">
      <c r="A565" s="9"/>
      <c r="B565" s="2"/>
      <c r="C565" s="3"/>
      <c r="D565" s="9"/>
      <c r="E565" s="9"/>
      <c r="F565" s="9"/>
      <c r="G565" s="9"/>
      <c r="H565" s="9"/>
      <c r="I565" s="8"/>
      <c r="J565" s="8"/>
      <c r="K565" s="8"/>
      <c r="L565" s="8"/>
      <c r="M565" s="8"/>
      <c r="N565" s="8"/>
      <c r="O565" s="8"/>
      <c r="P565" s="9"/>
      <c r="Q565" s="9"/>
      <c r="R565" s="9"/>
      <c r="S565" s="8"/>
      <c r="T565" s="8"/>
      <c r="U565" s="8"/>
      <c r="V565" s="8"/>
      <c r="W565" s="8"/>
      <c r="X565" s="8"/>
      <c r="Y565" s="8"/>
      <c r="Z565" s="194"/>
      <c r="AA565" s="194"/>
      <c r="AB565" s="194"/>
      <c r="AC565" s="11"/>
      <c r="AD565" s="11"/>
      <c r="AE565" s="11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3"/>
      <c r="AY565" s="13"/>
      <c r="AZ565" s="13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</row>
    <row r="566" spans="1:63" ht="14.25" customHeight="1" x14ac:dyDescent="0.25">
      <c r="A566" s="9"/>
      <c r="B566" s="2"/>
      <c r="C566" s="3"/>
      <c r="D566" s="9"/>
      <c r="E566" s="9"/>
      <c r="F566" s="9"/>
      <c r="G566" s="9"/>
      <c r="H566" s="9"/>
      <c r="I566" s="8"/>
      <c r="J566" s="8"/>
      <c r="K566" s="8"/>
      <c r="L566" s="8"/>
      <c r="M566" s="8"/>
      <c r="N566" s="8"/>
      <c r="O566" s="8"/>
      <c r="P566" s="9"/>
      <c r="Q566" s="9"/>
      <c r="R566" s="9"/>
      <c r="S566" s="8"/>
      <c r="T566" s="8"/>
      <c r="U566" s="8"/>
      <c r="V566" s="8"/>
      <c r="W566" s="8"/>
      <c r="X566" s="8"/>
      <c r="Y566" s="8"/>
      <c r="Z566" s="194"/>
      <c r="AA566" s="194"/>
      <c r="AB566" s="194"/>
      <c r="AC566" s="11"/>
      <c r="AD566" s="11"/>
      <c r="AE566" s="11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3"/>
      <c r="AY566" s="13"/>
      <c r="AZ566" s="13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</row>
    <row r="567" spans="1:63" ht="14.25" customHeight="1" x14ac:dyDescent="0.25">
      <c r="A567" s="9"/>
      <c r="B567" s="2"/>
      <c r="C567" s="3"/>
      <c r="D567" s="9"/>
      <c r="E567" s="9"/>
      <c r="F567" s="9"/>
      <c r="G567" s="9"/>
      <c r="H567" s="9"/>
      <c r="I567" s="8"/>
      <c r="J567" s="8"/>
      <c r="K567" s="8"/>
      <c r="L567" s="8"/>
      <c r="M567" s="8"/>
      <c r="N567" s="8"/>
      <c r="O567" s="8"/>
      <c r="P567" s="9"/>
      <c r="Q567" s="9"/>
      <c r="R567" s="9"/>
      <c r="S567" s="8"/>
      <c r="T567" s="8"/>
      <c r="U567" s="8"/>
      <c r="V567" s="8"/>
      <c r="W567" s="8"/>
      <c r="X567" s="8"/>
      <c r="Y567" s="8"/>
      <c r="Z567" s="194"/>
      <c r="AA567" s="194"/>
      <c r="AB567" s="194"/>
      <c r="AC567" s="11"/>
      <c r="AD567" s="11"/>
      <c r="AE567" s="11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3"/>
      <c r="AY567" s="13"/>
      <c r="AZ567" s="13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</row>
    <row r="568" spans="1:63" ht="14.25" customHeight="1" x14ac:dyDescent="0.25">
      <c r="A568" s="9"/>
      <c r="B568" s="2"/>
      <c r="C568" s="3"/>
      <c r="D568" s="9"/>
      <c r="E568" s="9"/>
      <c r="F568" s="9"/>
      <c r="G568" s="9"/>
      <c r="H568" s="9"/>
      <c r="I568" s="8"/>
      <c r="J568" s="8"/>
      <c r="K568" s="8"/>
      <c r="L568" s="8"/>
      <c r="M568" s="8"/>
      <c r="N568" s="8"/>
      <c r="O568" s="8"/>
      <c r="P568" s="9"/>
      <c r="Q568" s="9"/>
      <c r="R568" s="9"/>
      <c r="S568" s="8"/>
      <c r="T568" s="8"/>
      <c r="U568" s="8"/>
      <c r="V568" s="8"/>
      <c r="W568" s="8"/>
      <c r="X568" s="8"/>
      <c r="Y568" s="8"/>
      <c r="Z568" s="194"/>
      <c r="AA568" s="194"/>
      <c r="AB568" s="194"/>
      <c r="AC568" s="11"/>
      <c r="AD568" s="11"/>
      <c r="AE568" s="11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3"/>
      <c r="AY568" s="13"/>
      <c r="AZ568" s="13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</row>
    <row r="569" spans="1:63" ht="14.25" customHeight="1" x14ac:dyDescent="0.25">
      <c r="A569" s="9"/>
      <c r="B569" s="2"/>
      <c r="C569" s="3"/>
      <c r="D569" s="9"/>
      <c r="E569" s="9"/>
      <c r="F569" s="9"/>
      <c r="G569" s="9"/>
      <c r="H569" s="9"/>
      <c r="I569" s="8"/>
      <c r="J569" s="8"/>
      <c r="K569" s="8"/>
      <c r="L569" s="8"/>
      <c r="M569" s="8"/>
      <c r="N569" s="8"/>
      <c r="O569" s="8"/>
      <c r="P569" s="9"/>
      <c r="Q569" s="9"/>
      <c r="R569" s="9"/>
      <c r="S569" s="8"/>
      <c r="T569" s="8"/>
      <c r="U569" s="8"/>
      <c r="V569" s="8"/>
      <c r="W569" s="8"/>
      <c r="X569" s="8"/>
      <c r="Y569" s="8"/>
      <c r="Z569" s="194"/>
      <c r="AA569" s="194"/>
      <c r="AB569" s="194"/>
      <c r="AC569" s="11"/>
      <c r="AD569" s="11"/>
      <c r="AE569" s="11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3"/>
      <c r="AY569" s="13"/>
      <c r="AZ569" s="13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</row>
    <row r="570" spans="1:63" ht="14.25" customHeight="1" x14ac:dyDescent="0.25">
      <c r="A570" s="9"/>
      <c r="B570" s="2"/>
      <c r="C570" s="3"/>
      <c r="D570" s="9"/>
      <c r="E570" s="9"/>
      <c r="F570" s="9"/>
      <c r="G570" s="9"/>
      <c r="H570" s="9"/>
      <c r="I570" s="8"/>
      <c r="J570" s="8"/>
      <c r="K570" s="8"/>
      <c r="L570" s="8"/>
      <c r="M570" s="8"/>
      <c r="N570" s="8"/>
      <c r="O570" s="8"/>
      <c r="P570" s="9"/>
      <c r="Q570" s="9"/>
      <c r="R570" s="9"/>
      <c r="S570" s="8"/>
      <c r="T570" s="8"/>
      <c r="U570" s="8"/>
      <c r="V570" s="8"/>
      <c r="W570" s="8"/>
      <c r="X570" s="8"/>
      <c r="Y570" s="8"/>
      <c r="Z570" s="194"/>
      <c r="AA570" s="194"/>
      <c r="AB570" s="194"/>
      <c r="AC570" s="11"/>
      <c r="AD570" s="11"/>
      <c r="AE570" s="11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3"/>
      <c r="AY570" s="13"/>
      <c r="AZ570" s="13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</row>
    <row r="571" spans="1:63" ht="14.25" customHeight="1" x14ac:dyDescent="0.25">
      <c r="A571" s="9"/>
      <c r="B571" s="2"/>
      <c r="C571" s="3"/>
      <c r="D571" s="9"/>
      <c r="E571" s="9"/>
      <c r="F571" s="9"/>
      <c r="G571" s="9"/>
      <c r="H571" s="9"/>
      <c r="I571" s="8"/>
      <c r="J571" s="8"/>
      <c r="K571" s="8"/>
      <c r="L571" s="8"/>
      <c r="M571" s="8"/>
      <c r="N571" s="8"/>
      <c r="O571" s="8"/>
      <c r="P571" s="9"/>
      <c r="Q571" s="9"/>
      <c r="R571" s="9"/>
      <c r="S571" s="8"/>
      <c r="T571" s="8"/>
      <c r="U571" s="8"/>
      <c r="V571" s="8"/>
      <c r="W571" s="8"/>
      <c r="X571" s="8"/>
      <c r="Y571" s="8"/>
      <c r="Z571" s="194"/>
      <c r="AA571" s="194"/>
      <c r="AB571" s="194"/>
      <c r="AC571" s="11"/>
      <c r="AD571" s="11"/>
      <c r="AE571" s="11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3"/>
      <c r="AY571" s="13"/>
      <c r="AZ571" s="13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</row>
    <row r="572" spans="1:63" ht="14.25" customHeight="1" x14ac:dyDescent="0.25">
      <c r="A572" s="9"/>
      <c r="B572" s="2"/>
      <c r="C572" s="3"/>
      <c r="D572" s="9"/>
      <c r="E572" s="9"/>
      <c r="F572" s="9"/>
      <c r="G572" s="9"/>
      <c r="H572" s="9"/>
      <c r="I572" s="8"/>
      <c r="J572" s="8"/>
      <c r="K572" s="8"/>
      <c r="L572" s="8"/>
      <c r="M572" s="8"/>
      <c r="N572" s="8"/>
      <c r="O572" s="8"/>
      <c r="P572" s="9"/>
      <c r="Q572" s="9"/>
      <c r="R572" s="9"/>
      <c r="S572" s="8"/>
      <c r="T572" s="8"/>
      <c r="U572" s="8"/>
      <c r="V572" s="8"/>
      <c r="W572" s="8"/>
      <c r="X572" s="8"/>
      <c r="Y572" s="8"/>
      <c r="Z572" s="194"/>
      <c r="AA572" s="194"/>
      <c r="AB572" s="194"/>
      <c r="AC572" s="11"/>
      <c r="AD572" s="11"/>
      <c r="AE572" s="11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3"/>
      <c r="AY572" s="13"/>
      <c r="AZ572" s="13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</row>
    <row r="573" spans="1:63" ht="14.25" customHeight="1" x14ac:dyDescent="0.25">
      <c r="A573" s="9"/>
      <c r="B573" s="2"/>
      <c r="C573" s="3"/>
      <c r="D573" s="9"/>
      <c r="E573" s="9"/>
      <c r="F573" s="9"/>
      <c r="G573" s="9"/>
      <c r="H573" s="9"/>
      <c r="I573" s="8"/>
      <c r="J573" s="8"/>
      <c r="K573" s="8"/>
      <c r="L573" s="8"/>
      <c r="M573" s="8"/>
      <c r="N573" s="8"/>
      <c r="O573" s="8"/>
      <c r="P573" s="9"/>
      <c r="Q573" s="9"/>
      <c r="R573" s="9"/>
      <c r="S573" s="8"/>
      <c r="T573" s="8"/>
      <c r="U573" s="8"/>
      <c r="V573" s="8"/>
      <c r="W573" s="8"/>
      <c r="X573" s="8"/>
      <c r="Y573" s="8"/>
      <c r="Z573" s="194"/>
      <c r="AA573" s="194"/>
      <c r="AB573" s="194"/>
      <c r="AC573" s="11"/>
      <c r="AD573" s="11"/>
      <c r="AE573" s="11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3"/>
      <c r="AY573" s="13"/>
      <c r="AZ573" s="13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</row>
    <row r="574" spans="1:63" ht="14.25" customHeight="1" x14ac:dyDescent="0.25">
      <c r="A574" s="9"/>
      <c r="B574" s="2"/>
      <c r="C574" s="3"/>
      <c r="D574" s="9"/>
      <c r="E574" s="9"/>
      <c r="F574" s="9"/>
      <c r="G574" s="9"/>
      <c r="H574" s="9"/>
      <c r="I574" s="8"/>
      <c r="J574" s="8"/>
      <c r="K574" s="8"/>
      <c r="L574" s="8"/>
      <c r="M574" s="8"/>
      <c r="N574" s="8"/>
      <c r="O574" s="8"/>
      <c r="P574" s="9"/>
      <c r="Q574" s="9"/>
      <c r="R574" s="9"/>
      <c r="S574" s="8"/>
      <c r="T574" s="8"/>
      <c r="U574" s="8"/>
      <c r="V574" s="8"/>
      <c r="W574" s="8"/>
      <c r="X574" s="8"/>
      <c r="Y574" s="8"/>
      <c r="Z574" s="194"/>
      <c r="AA574" s="194"/>
      <c r="AB574" s="194"/>
      <c r="AC574" s="11"/>
      <c r="AD574" s="11"/>
      <c r="AE574" s="11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3"/>
      <c r="AY574" s="13"/>
      <c r="AZ574" s="13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</row>
    <row r="575" spans="1:63" ht="14.25" customHeight="1" x14ac:dyDescent="0.25">
      <c r="A575" s="9"/>
      <c r="B575" s="2"/>
      <c r="C575" s="3"/>
      <c r="D575" s="9"/>
      <c r="E575" s="9"/>
      <c r="F575" s="9"/>
      <c r="G575" s="9"/>
      <c r="H575" s="9"/>
      <c r="I575" s="8"/>
      <c r="J575" s="8"/>
      <c r="K575" s="8"/>
      <c r="L575" s="8"/>
      <c r="M575" s="8"/>
      <c r="N575" s="8"/>
      <c r="O575" s="8"/>
      <c r="P575" s="9"/>
      <c r="Q575" s="9"/>
      <c r="R575" s="9"/>
      <c r="S575" s="8"/>
      <c r="T575" s="8"/>
      <c r="U575" s="8"/>
      <c r="V575" s="8"/>
      <c r="W575" s="8"/>
      <c r="X575" s="8"/>
      <c r="Y575" s="8"/>
      <c r="Z575" s="194"/>
      <c r="AA575" s="194"/>
      <c r="AB575" s="194"/>
      <c r="AC575" s="11"/>
      <c r="AD575" s="11"/>
      <c r="AE575" s="11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3"/>
      <c r="AY575" s="13"/>
      <c r="AZ575" s="13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</row>
    <row r="576" spans="1:63" ht="14.25" customHeight="1" x14ac:dyDescent="0.25">
      <c r="A576" s="9"/>
      <c r="B576" s="2"/>
      <c r="C576" s="3"/>
      <c r="D576" s="9"/>
      <c r="E576" s="9"/>
      <c r="F576" s="9"/>
      <c r="G576" s="9"/>
      <c r="H576" s="9"/>
      <c r="I576" s="8"/>
      <c r="J576" s="8"/>
      <c r="K576" s="8"/>
      <c r="L576" s="8"/>
      <c r="M576" s="8"/>
      <c r="N576" s="8"/>
      <c r="O576" s="8"/>
      <c r="P576" s="9"/>
      <c r="Q576" s="9"/>
      <c r="R576" s="9"/>
      <c r="S576" s="8"/>
      <c r="T576" s="8"/>
      <c r="U576" s="8"/>
      <c r="V576" s="8"/>
      <c r="W576" s="8"/>
      <c r="X576" s="8"/>
      <c r="Y576" s="8"/>
      <c r="Z576" s="194"/>
      <c r="AA576" s="194"/>
      <c r="AB576" s="194"/>
      <c r="AC576" s="11"/>
      <c r="AD576" s="11"/>
      <c r="AE576" s="11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3"/>
      <c r="AY576" s="13"/>
      <c r="AZ576" s="13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</row>
    <row r="577" spans="1:63" ht="14.25" customHeight="1" x14ac:dyDescent="0.25">
      <c r="A577" s="9"/>
      <c r="B577" s="2"/>
      <c r="C577" s="3"/>
      <c r="D577" s="9"/>
      <c r="E577" s="9"/>
      <c r="F577" s="9"/>
      <c r="G577" s="9"/>
      <c r="H577" s="9"/>
      <c r="I577" s="8"/>
      <c r="J577" s="8"/>
      <c r="K577" s="8"/>
      <c r="L577" s="8"/>
      <c r="M577" s="8"/>
      <c r="N577" s="8"/>
      <c r="O577" s="8"/>
      <c r="P577" s="9"/>
      <c r="Q577" s="9"/>
      <c r="R577" s="9"/>
      <c r="S577" s="8"/>
      <c r="T577" s="8"/>
      <c r="U577" s="8"/>
      <c r="V577" s="8"/>
      <c r="W577" s="8"/>
      <c r="X577" s="8"/>
      <c r="Y577" s="8"/>
      <c r="Z577" s="194"/>
      <c r="AA577" s="194"/>
      <c r="AB577" s="194"/>
      <c r="AC577" s="11"/>
      <c r="AD577" s="11"/>
      <c r="AE577" s="11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3"/>
      <c r="AY577" s="13"/>
      <c r="AZ577" s="13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</row>
    <row r="578" spans="1:63" ht="14.25" customHeight="1" x14ac:dyDescent="0.25">
      <c r="A578" s="9"/>
      <c r="B578" s="2"/>
      <c r="C578" s="3"/>
      <c r="D578" s="9"/>
      <c r="E578" s="9"/>
      <c r="F578" s="9"/>
      <c r="G578" s="9"/>
      <c r="H578" s="9"/>
      <c r="I578" s="8"/>
      <c r="J578" s="8"/>
      <c r="K578" s="8"/>
      <c r="L578" s="8"/>
      <c r="M578" s="8"/>
      <c r="N578" s="8"/>
      <c r="O578" s="8"/>
      <c r="P578" s="9"/>
      <c r="Q578" s="9"/>
      <c r="R578" s="9"/>
      <c r="S578" s="8"/>
      <c r="T578" s="8"/>
      <c r="U578" s="8"/>
      <c r="V578" s="8"/>
      <c r="W578" s="8"/>
      <c r="X578" s="8"/>
      <c r="Y578" s="8"/>
      <c r="Z578" s="194"/>
      <c r="AA578" s="194"/>
      <c r="AB578" s="194"/>
      <c r="AC578" s="11"/>
      <c r="AD578" s="11"/>
      <c r="AE578" s="11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3"/>
      <c r="AY578" s="13"/>
      <c r="AZ578" s="13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</row>
    <row r="579" spans="1:63" ht="14.25" customHeight="1" x14ac:dyDescent="0.25">
      <c r="A579" s="9"/>
      <c r="B579" s="2"/>
      <c r="C579" s="3"/>
      <c r="D579" s="9"/>
      <c r="E579" s="9"/>
      <c r="F579" s="9"/>
      <c r="G579" s="9"/>
      <c r="H579" s="9"/>
      <c r="I579" s="8"/>
      <c r="J579" s="8"/>
      <c r="K579" s="8"/>
      <c r="L579" s="8"/>
      <c r="M579" s="8"/>
      <c r="N579" s="8"/>
      <c r="O579" s="8"/>
      <c r="P579" s="9"/>
      <c r="Q579" s="9"/>
      <c r="R579" s="9"/>
      <c r="S579" s="8"/>
      <c r="T579" s="8"/>
      <c r="U579" s="8"/>
      <c r="V579" s="8"/>
      <c r="W579" s="8"/>
      <c r="X579" s="8"/>
      <c r="Y579" s="8"/>
      <c r="Z579" s="194"/>
      <c r="AA579" s="194"/>
      <c r="AB579" s="194"/>
      <c r="AC579" s="11"/>
      <c r="AD579" s="11"/>
      <c r="AE579" s="11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3"/>
      <c r="AY579" s="13"/>
      <c r="AZ579" s="13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</row>
    <row r="580" spans="1:63" ht="14.25" customHeight="1" x14ac:dyDescent="0.25">
      <c r="A580" s="9"/>
      <c r="B580" s="2"/>
      <c r="C580" s="3"/>
      <c r="D580" s="9"/>
      <c r="E580" s="9"/>
      <c r="F580" s="9"/>
      <c r="G580" s="9"/>
      <c r="H580" s="9"/>
      <c r="I580" s="8"/>
      <c r="J580" s="8"/>
      <c r="K580" s="8"/>
      <c r="L580" s="8"/>
      <c r="M580" s="8"/>
      <c r="N580" s="8"/>
      <c r="O580" s="8"/>
      <c r="P580" s="9"/>
      <c r="Q580" s="9"/>
      <c r="R580" s="9"/>
      <c r="S580" s="8"/>
      <c r="T580" s="8"/>
      <c r="U580" s="8"/>
      <c r="V580" s="8"/>
      <c r="W580" s="8"/>
      <c r="X580" s="8"/>
      <c r="Y580" s="8"/>
      <c r="Z580" s="194"/>
      <c r="AA580" s="194"/>
      <c r="AB580" s="194"/>
      <c r="AC580" s="11"/>
      <c r="AD580" s="11"/>
      <c r="AE580" s="11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3"/>
      <c r="AY580" s="13"/>
      <c r="AZ580" s="13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</row>
    <row r="581" spans="1:63" ht="14.25" customHeight="1" x14ac:dyDescent="0.25">
      <c r="A581" s="9"/>
      <c r="B581" s="2"/>
      <c r="C581" s="3"/>
      <c r="D581" s="9"/>
      <c r="E581" s="9"/>
      <c r="F581" s="9"/>
      <c r="G581" s="9"/>
      <c r="H581" s="9"/>
      <c r="I581" s="8"/>
      <c r="J581" s="8"/>
      <c r="K581" s="8"/>
      <c r="L581" s="8"/>
      <c r="M581" s="8"/>
      <c r="N581" s="8"/>
      <c r="O581" s="8"/>
      <c r="P581" s="9"/>
      <c r="Q581" s="9"/>
      <c r="R581" s="9"/>
      <c r="S581" s="8"/>
      <c r="T581" s="8"/>
      <c r="U581" s="8"/>
      <c r="V581" s="8"/>
      <c r="W581" s="8"/>
      <c r="X581" s="8"/>
      <c r="Y581" s="8"/>
      <c r="Z581" s="194"/>
      <c r="AA581" s="194"/>
      <c r="AB581" s="194"/>
      <c r="AC581" s="11"/>
      <c r="AD581" s="11"/>
      <c r="AE581" s="11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3"/>
      <c r="AY581" s="13"/>
      <c r="AZ581" s="13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</row>
    <row r="582" spans="1:63" ht="14.25" customHeight="1" x14ac:dyDescent="0.25">
      <c r="A582" s="9"/>
      <c r="B582" s="2"/>
      <c r="C582" s="3"/>
      <c r="D582" s="9"/>
      <c r="E582" s="9"/>
      <c r="F582" s="9"/>
      <c r="G582" s="9"/>
      <c r="H582" s="9"/>
      <c r="I582" s="8"/>
      <c r="J582" s="8"/>
      <c r="K582" s="8"/>
      <c r="L582" s="8"/>
      <c r="M582" s="8"/>
      <c r="N582" s="8"/>
      <c r="O582" s="8"/>
      <c r="P582" s="9"/>
      <c r="Q582" s="9"/>
      <c r="R582" s="9"/>
      <c r="S582" s="8"/>
      <c r="T582" s="8"/>
      <c r="U582" s="8"/>
      <c r="V582" s="8"/>
      <c r="W582" s="8"/>
      <c r="X582" s="8"/>
      <c r="Y582" s="8"/>
      <c r="Z582" s="194"/>
      <c r="AA582" s="194"/>
      <c r="AB582" s="194"/>
      <c r="AC582" s="11"/>
      <c r="AD582" s="11"/>
      <c r="AE582" s="11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3"/>
      <c r="AY582" s="13"/>
      <c r="AZ582" s="13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</row>
    <row r="583" spans="1:63" ht="14.25" customHeight="1" x14ac:dyDescent="0.25">
      <c r="A583" s="9"/>
      <c r="B583" s="2"/>
      <c r="C583" s="3"/>
      <c r="D583" s="9"/>
      <c r="E583" s="9"/>
      <c r="F583" s="9"/>
      <c r="G583" s="9"/>
      <c r="H583" s="9"/>
      <c r="I583" s="8"/>
      <c r="J583" s="8"/>
      <c r="K583" s="8"/>
      <c r="L583" s="8"/>
      <c r="M583" s="8"/>
      <c r="N583" s="8"/>
      <c r="O583" s="8"/>
      <c r="P583" s="9"/>
      <c r="Q583" s="9"/>
      <c r="R583" s="9"/>
      <c r="S583" s="8"/>
      <c r="T583" s="8"/>
      <c r="U583" s="8"/>
      <c r="V583" s="8"/>
      <c r="W583" s="8"/>
      <c r="X583" s="8"/>
      <c r="Y583" s="8"/>
      <c r="Z583" s="194"/>
      <c r="AA583" s="194"/>
      <c r="AB583" s="194"/>
      <c r="AC583" s="11"/>
      <c r="AD583" s="11"/>
      <c r="AE583" s="11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3"/>
      <c r="AY583" s="13"/>
      <c r="AZ583" s="13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</row>
    <row r="584" spans="1:63" ht="14.25" customHeight="1" x14ac:dyDescent="0.25">
      <c r="A584" s="9"/>
      <c r="B584" s="2"/>
      <c r="C584" s="3"/>
      <c r="D584" s="9"/>
      <c r="E584" s="9"/>
      <c r="F584" s="9"/>
      <c r="G584" s="9"/>
      <c r="H584" s="9"/>
      <c r="I584" s="8"/>
      <c r="J584" s="8"/>
      <c r="K584" s="8"/>
      <c r="L584" s="8"/>
      <c r="M584" s="8"/>
      <c r="N584" s="8"/>
      <c r="O584" s="8"/>
      <c r="P584" s="9"/>
      <c r="Q584" s="9"/>
      <c r="R584" s="9"/>
      <c r="S584" s="8"/>
      <c r="T584" s="8"/>
      <c r="U584" s="8"/>
      <c r="V584" s="8"/>
      <c r="W584" s="8"/>
      <c r="X584" s="8"/>
      <c r="Y584" s="8"/>
      <c r="Z584" s="194"/>
      <c r="AA584" s="194"/>
      <c r="AB584" s="194"/>
      <c r="AC584" s="11"/>
      <c r="AD584" s="11"/>
      <c r="AE584" s="11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3"/>
      <c r="AY584" s="13"/>
      <c r="AZ584" s="13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</row>
    <row r="585" spans="1:63" ht="14.25" customHeight="1" x14ac:dyDescent="0.25">
      <c r="A585" s="9"/>
      <c r="B585" s="2"/>
      <c r="C585" s="3"/>
      <c r="D585" s="9"/>
      <c r="E585" s="9"/>
      <c r="F585" s="9"/>
      <c r="G585" s="9"/>
      <c r="H585" s="9"/>
      <c r="I585" s="8"/>
      <c r="J585" s="8"/>
      <c r="K585" s="8"/>
      <c r="L585" s="8"/>
      <c r="M585" s="8"/>
      <c r="N585" s="8"/>
      <c r="O585" s="8"/>
      <c r="P585" s="9"/>
      <c r="Q585" s="9"/>
      <c r="R585" s="9"/>
      <c r="S585" s="8"/>
      <c r="T585" s="8"/>
      <c r="U585" s="8"/>
      <c r="V585" s="8"/>
      <c r="W585" s="8"/>
      <c r="X585" s="8"/>
      <c r="Y585" s="8"/>
      <c r="Z585" s="194"/>
      <c r="AA585" s="194"/>
      <c r="AB585" s="194"/>
      <c r="AC585" s="11"/>
      <c r="AD585" s="11"/>
      <c r="AE585" s="11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3"/>
      <c r="AY585" s="13"/>
      <c r="AZ585" s="13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</row>
    <row r="586" spans="1:63" ht="14.25" customHeight="1" x14ac:dyDescent="0.25">
      <c r="A586" s="9"/>
      <c r="B586" s="2"/>
      <c r="C586" s="3"/>
      <c r="D586" s="9"/>
      <c r="E586" s="9"/>
      <c r="F586" s="9"/>
      <c r="G586" s="9"/>
      <c r="H586" s="9"/>
      <c r="I586" s="8"/>
      <c r="J586" s="8"/>
      <c r="K586" s="8"/>
      <c r="L586" s="8"/>
      <c r="M586" s="8"/>
      <c r="N586" s="8"/>
      <c r="O586" s="8"/>
      <c r="P586" s="9"/>
      <c r="Q586" s="9"/>
      <c r="R586" s="9"/>
      <c r="S586" s="8"/>
      <c r="T586" s="8"/>
      <c r="U586" s="8"/>
      <c r="V586" s="8"/>
      <c r="W586" s="8"/>
      <c r="X586" s="8"/>
      <c r="Y586" s="8"/>
      <c r="Z586" s="194"/>
      <c r="AA586" s="194"/>
      <c r="AB586" s="194"/>
      <c r="AC586" s="11"/>
      <c r="AD586" s="11"/>
      <c r="AE586" s="11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3"/>
      <c r="AY586" s="13"/>
      <c r="AZ586" s="13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</row>
    <row r="587" spans="1:63" ht="14.25" customHeight="1" x14ac:dyDescent="0.25">
      <c r="A587" s="9"/>
      <c r="B587" s="2"/>
      <c r="C587" s="3"/>
      <c r="D587" s="9"/>
      <c r="E587" s="9"/>
      <c r="F587" s="9"/>
      <c r="G587" s="9"/>
      <c r="H587" s="9"/>
      <c r="I587" s="8"/>
      <c r="J587" s="8"/>
      <c r="K587" s="8"/>
      <c r="L587" s="8"/>
      <c r="M587" s="8"/>
      <c r="N587" s="8"/>
      <c r="O587" s="8"/>
      <c r="P587" s="9"/>
      <c r="Q587" s="9"/>
      <c r="R587" s="9"/>
      <c r="S587" s="8"/>
      <c r="T587" s="8"/>
      <c r="U587" s="8"/>
      <c r="V587" s="8"/>
      <c r="W587" s="8"/>
      <c r="X587" s="8"/>
      <c r="Y587" s="8"/>
      <c r="Z587" s="194"/>
      <c r="AA587" s="194"/>
      <c r="AB587" s="194"/>
      <c r="AC587" s="11"/>
      <c r="AD587" s="11"/>
      <c r="AE587" s="11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3"/>
      <c r="AY587" s="13"/>
      <c r="AZ587" s="13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</row>
    <row r="588" spans="1:63" ht="14.25" customHeight="1" x14ac:dyDescent="0.25">
      <c r="A588" s="9"/>
      <c r="B588" s="2"/>
      <c r="C588" s="3"/>
      <c r="D588" s="9"/>
      <c r="E588" s="9"/>
      <c r="F588" s="9"/>
      <c r="G588" s="9"/>
      <c r="H588" s="9"/>
      <c r="I588" s="8"/>
      <c r="J588" s="8"/>
      <c r="K588" s="8"/>
      <c r="L588" s="8"/>
      <c r="M588" s="8"/>
      <c r="N588" s="8"/>
      <c r="O588" s="8"/>
      <c r="P588" s="9"/>
      <c r="Q588" s="9"/>
      <c r="R588" s="9"/>
      <c r="S588" s="8"/>
      <c r="T588" s="8"/>
      <c r="U588" s="8"/>
      <c r="V588" s="8"/>
      <c r="W588" s="8"/>
      <c r="X588" s="8"/>
      <c r="Y588" s="8"/>
      <c r="Z588" s="194"/>
      <c r="AA588" s="194"/>
      <c r="AB588" s="194"/>
      <c r="AC588" s="11"/>
      <c r="AD588" s="11"/>
      <c r="AE588" s="11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3"/>
      <c r="AY588" s="13"/>
      <c r="AZ588" s="13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</row>
    <row r="589" spans="1:63" ht="14.25" customHeight="1" x14ac:dyDescent="0.25">
      <c r="A589" s="9"/>
      <c r="B589" s="2"/>
      <c r="C589" s="3"/>
      <c r="D589" s="9"/>
      <c r="E589" s="9"/>
      <c r="F589" s="9"/>
      <c r="G589" s="9"/>
      <c r="H589" s="9"/>
      <c r="I589" s="8"/>
      <c r="J589" s="8"/>
      <c r="K589" s="8"/>
      <c r="L589" s="8"/>
      <c r="M589" s="8"/>
      <c r="N589" s="8"/>
      <c r="O589" s="8"/>
      <c r="P589" s="9"/>
      <c r="Q589" s="9"/>
      <c r="R589" s="9"/>
      <c r="S589" s="8"/>
      <c r="T589" s="8"/>
      <c r="U589" s="8"/>
      <c r="V589" s="8"/>
      <c r="W589" s="8"/>
      <c r="X589" s="8"/>
      <c r="Y589" s="8"/>
      <c r="Z589" s="194"/>
      <c r="AA589" s="194"/>
      <c r="AB589" s="194"/>
      <c r="AC589" s="11"/>
      <c r="AD589" s="11"/>
      <c r="AE589" s="11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3"/>
      <c r="AY589" s="13"/>
      <c r="AZ589" s="13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</row>
    <row r="590" spans="1:63" ht="14.25" customHeight="1" x14ac:dyDescent="0.25">
      <c r="A590" s="9"/>
      <c r="B590" s="2"/>
      <c r="C590" s="3"/>
      <c r="D590" s="9"/>
      <c r="E590" s="9"/>
      <c r="F590" s="9"/>
      <c r="G590" s="9"/>
      <c r="H590" s="9"/>
      <c r="I590" s="8"/>
      <c r="J590" s="8"/>
      <c r="K590" s="8"/>
      <c r="L590" s="8"/>
      <c r="M590" s="8"/>
      <c r="N590" s="8"/>
      <c r="O590" s="8"/>
      <c r="P590" s="9"/>
      <c r="Q590" s="9"/>
      <c r="R590" s="9"/>
      <c r="S590" s="8"/>
      <c r="T590" s="8"/>
      <c r="U590" s="8"/>
      <c r="V590" s="8"/>
      <c r="W590" s="8"/>
      <c r="X590" s="8"/>
      <c r="Y590" s="8"/>
      <c r="Z590" s="194"/>
      <c r="AA590" s="194"/>
      <c r="AB590" s="194"/>
      <c r="AC590" s="11"/>
      <c r="AD590" s="11"/>
      <c r="AE590" s="11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3"/>
      <c r="AY590" s="13"/>
      <c r="AZ590" s="13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</row>
    <row r="591" spans="1:63" ht="14.25" customHeight="1" x14ac:dyDescent="0.25">
      <c r="A591" s="9"/>
      <c r="B591" s="2"/>
      <c r="C591" s="3"/>
      <c r="D591" s="9"/>
      <c r="E591" s="9"/>
      <c r="F591" s="9"/>
      <c r="G591" s="9"/>
      <c r="H591" s="9"/>
      <c r="I591" s="8"/>
      <c r="J591" s="8"/>
      <c r="K591" s="8"/>
      <c r="L591" s="8"/>
      <c r="M591" s="8"/>
      <c r="N591" s="8"/>
      <c r="O591" s="8"/>
      <c r="P591" s="9"/>
      <c r="Q591" s="9"/>
      <c r="R591" s="9"/>
      <c r="S591" s="8"/>
      <c r="T591" s="8"/>
      <c r="U591" s="8"/>
      <c r="V591" s="8"/>
      <c r="W591" s="8"/>
      <c r="X591" s="8"/>
      <c r="Y591" s="8"/>
      <c r="Z591" s="194"/>
      <c r="AA591" s="194"/>
      <c r="AB591" s="194"/>
      <c r="AC591" s="11"/>
      <c r="AD591" s="11"/>
      <c r="AE591" s="11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3"/>
      <c r="AY591" s="13"/>
      <c r="AZ591" s="13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</row>
    <row r="592" spans="1:63" ht="14.25" customHeight="1" x14ac:dyDescent="0.25">
      <c r="A592" s="9"/>
      <c r="B592" s="2"/>
      <c r="C592" s="3"/>
      <c r="D592" s="9"/>
      <c r="E592" s="9"/>
      <c r="F592" s="9"/>
      <c r="G592" s="9"/>
      <c r="H592" s="9"/>
      <c r="I592" s="8"/>
      <c r="J592" s="8"/>
      <c r="K592" s="8"/>
      <c r="L592" s="8"/>
      <c r="M592" s="8"/>
      <c r="N592" s="8"/>
      <c r="O592" s="8"/>
      <c r="P592" s="9"/>
      <c r="Q592" s="9"/>
      <c r="R592" s="9"/>
      <c r="S592" s="8"/>
      <c r="T592" s="8"/>
      <c r="U592" s="8"/>
      <c r="V592" s="8"/>
      <c r="W592" s="8"/>
      <c r="X592" s="8"/>
      <c r="Y592" s="8"/>
      <c r="Z592" s="194"/>
      <c r="AA592" s="194"/>
      <c r="AB592" s="194"/>
      <c r="AC592" s="11"/>
      <c r="AD592" s="11"/>
      <c r="AE592" s="11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3"/>
      <c r="AY592" s="13"/>
      <c r="AZ592" s="13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</row>
    <row r="593" spans="1:63" ht="14.25" customHeight="1" x14ac:dyDescent="0.25">
      <c r="A593" s="9"/>
      <c r="B593" s="2"/>
      <c r="C593" s="3"/>
      <c r="D593" s="9"/>
      <c r="E593" s="9"/>
      <c r="F593" s="9"/>
      <c r="G593" s="9"/>
      <c r="H593" s="9"/>
      <c r="I593" s="8"/>
      <c r="J593" s="8"/>
      <c r="K593" s="8"/>
      <c r="L593" s="8"/>
      <c r="M593" s="8"/>
      <c r="N593" s="8"/>
      <c r="O593" s="8"/>
      <c r="P593" s="9"/>
      <c r="Q593" s="9"/>
      <c r="R593" s="9"/>
      <c r="S593" s="8"/>
      <c r="T593" s="8"/>
      <c r="U593" s="8"/>
      <c r="V593" s="8"/>
      <c r="W593" s="8"/>
      <c r="X593" s="8"/>
      <c r="Y593" s="8"/>
      <c r="Z593" s="194"/>
      <c r="AA593" s="194"/>
      <c r="AB593" s="194"/>
      <c r="AC593" s="11"/>
      <c r="AD593" s="11"/>
      <c r="AE593" s="11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3"/>
      <c r="AY593" s="13"/>
      <c r="AZ593" s="13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</row>
    <row r="594" spans="1:63" ht="14.25" customHeight="1" x14ac:dyDescent="0.25">
      <c r="A594" s="9"/>
      <c r="B594" s="2"/>
      <c r="C594" s="3"/>
      <c r="D594" s="9"/>
      <c r="E594" s="9"/>
      <c r="F594" s="9"/>
      <c r="G594" s="9"/>
      <c r="H594" s="9"/>
      <c r="I594" s="8"/>
      <c r="J594" s="8"/>
      <c r="K594" s="8"/>
      <c r="L594" s="8"/>
      <c r="M594" s="8"/>
      <c r="N594" s="8"/>
      <c r="O594" s="8"/>
      <c r="P594" s="9"/>
      <c r="Q594" s="9"/>
      <c r="R594" s="9"/>
      <c r="S594" s="8"/>
      <c r="T594" s="8"/>
      <c r="U594" s="8"/>
      <c r="V594" s="8"/>
      <c r="W594" s="8"/>
      <c r="X594" s="8"/>
      <c r="Y594" s="8"/>
      <c r="Z594" s="194"/>
      <c r="AA594" s="194"/>
      <c r="AB594" s="194"/>
      <c r="AC594" s="11"/>
      <c r="AD594" s="11"/>
      <c r="AE594" s="11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3"/>
      <c r="AY594" s="13"/>
      <c r="AZ594" s="13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</row>
    <row r="595" spans="1:63" ht="14.25" customHeight="1" x14ac:dyDescent="0.25">
      <c r="A595" s="9"/>
      <c r="B595" s="2"/>
      <c r="C595" s="3"/>
      <c r="D595" s="9"/>
      <c r="E595" s="9"/>
      <c r="F595" s="9"/>
      <c r="G595" s="9"/>
      <c r="H595" s="9"/>
      <c r="I595" s="8"/>
      <c r="J595" s="8"/>
      <c r="K595" s="8"/>
      <c r="L595" s="8"/>
      <c r="M595" s="8"/>
      <c r="N595" s="8"/>
      <c r="O595" s="8"/>
      <c r="P595" s="9"/>
      <c r="Q595" s="9"/>
      <c r="R595" s="9"/>
      <c r="S595" s="8"/>
      <c r="T595" s="8"/>
      <c r="U595" s="8"/>
      <c r="V595" s="8"/>
      <c r="W595" s="8"/>
      <c r="X595" s="8"/>
      <c r="Y595" s="8"/>
      <c r="Z595" s="194"/>
      <c r="AA595" s="194"/>
      <c r="AB595" s="194"/>
      <c r="AC595" s="11"/>
      <c r="AD595" s="11"/>
      <c r="AE595" s="11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3"/>
      <c r="AY595" s="13"/>
      <c r="AZ595" s="13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</row>
    <row r="596" spans="1:63" ht="14.25" customHeight="1" x14ac:dyDescent="0.25">
      <c r="A596" s="9"/>
      <c r="B596" s="2"/>
      <c r="C596" s="3"/>
      <c r="D596" s="9"/>
      <c r="E596" s="9"/>
      <c r="F596" s="9"/>
      <c r="G596" s="9"/>
      <c r="H596" s="9"/>
      <c r="I596" s="8"/>
      <c r="J596" s="8"/>
      <c r="K596" s="8"/>
      <c r="L596" s="8"/>
      <c r="M596" s="8"/>
      <c r="N596" s="8"/>
      <c r="O596" s="8"/>
      <c r="P596" s="9"/>
      <c r="Q596" s="9"/>
      <c r="R596" s="9"/>
      <c r="S596" s="8"/>
      <c r="T596" s="8"/>
      <c r="U596" s="8"/>
      <c r="V596" s="8"/>
      <c r="W596" s="8"/>
      <c r="X596" s="8"/>
      <c r="Y596" s="8"/>
      <c r="Z596" s="194"/>
      <c r="AA596" s="194"/>
      <c r="AB596" s="194"/>
      <c r="AC596" s="11"/>
      <c r="AD596" s="11"/>
      <c r="AE596" s="11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3"/>
      <c r="AY596" s="13"/>
      <c r="AZ596" s="13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</row>
    <row r="597" spans="1:63" ht="14.25" customHeight="1" x14ac:dyDescent="0.25">
      <c r="A597" s="9"/>
      <c r="B597" s="2"/>
      <c r="C597" s="3"/>
      <c r="D597" s="9"/>
      <c r="E597" s="9"/>
      <c r="F597" s="9"/>
      <c r="G597" s="9"/>
      <c r="H597" s="9"/>
      <c r="I597" s="8"/>
      <c r="J597" s="8"/>
      <c r="K597" s="8"/>
      <c r="L597" s="8"/>
      <c r="M597" s="8"/>
      <c r="N597" s="8"/>
      <c r="O597" s="8"/>
      <c r="P597" s="9"/>
      <c r="Q597" s="9"/>
      <c r="R597" s="9"/>
      <c r="S597" s="8"/>
      <c r="T597" s="8"/>
      <c r="U597" s="8"/>
      <c r="V597" s="8"/>
      <c r="W597" s="8"/>
      <c r="X597" s="8"/>
      <c r="Y597" s="8"/>
      <c r="Z597" s="194"/>
      <c r="AA597" s="194"/>
      <c r="AB597" s="194"/>
      <c r="AC597" s="11"/>
      <c r="AD597" s="11"/>
      <c r="AE597" s="11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3"/>
      <c r="AY597" s="13"/>
      <c r="AZ597" s="13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</row>
    <row r="598" spans="1:63" ht="14.25" customHeight="1" x14ac:dyDescent="0.25">
      <c r="A598" s="9"/>
      <c r="B598" s="2"/>
      <c r="C598" s="3"/>
      <c r="D598" s="9"/>
      <c r="E598" s="9"/>
      <c r="F598" s="9"/>
      <c r="G598" s="9"/>
      <c r="H598" s="9"/>
      <c r="I598" s="8"/>
      <c r="J598" s="8"/>
      <c r="K598" s="8"/>
      <c r="L598" s="8"/>
      <c r="M598" s="8"/>
      <c r="N598" s="8"/>
      <c r="O598" s="8"/>
      <c r="P598" s="9"/>
      <c r="Q598" s="9"/>
      <c r="R598" s="9"/>
      <c r="S598" s="8"/>
      <c r="T598" s="8"/>
      <c r="U598" s="8"/>
      <c r="V598" s="8"/>
      <c r="W598" s="8"/>
      <c r="X598" s="8"/>
      <c r="Y598" s="8"/>
      <c r="Z598" s="194"/>
      <c r="AA598" s="194"/>
      <c r="AB598" s="194"/>
      <c r="AC598" s="11"/>
      <c r="AD598" s="11"/>
      <c r="AE598" s="11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3"/>
      <c r="AY598" s="13"/>
      <c r="AZ598" s="13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</row>
    <row r="599" spans="1:63" ht="14.25" customHeight="1" x14ac:dyDescent="0.25">
      <c r="A599" s="9"/>
      <c r="B599" s="2"/>
      <c r="C599" s="3"/>
      <c r="D599" s="9"/>
      <c r="E599" s="9"/>
      <c r="F599" s="9"/>
      <c r="G599" s="9"/>
      <c r="H599" s="9"/>
      <c r="I599" s="8"/>
      <c r="J599" s="8"/>
      <c r="K599" s="8"/>
      <c r="L599" s="8"/>
      <c r="M599" s="8"/>
      <c r="N599" s="8"/>
      <c r="O599" s="8"/>
      <c r="P599" s="9"/>
      <c r="Q599" s="9"/>
      <c r="R599" s="9"/>
      <c r="S599" s="8"/>
      <c r="T599" s="8"/>
      <c r="U599" s="8"/>
      <c r="V599" s="8"/>
      <c r="W599" s="8"/>
      <c r="X599" s="8"/>
      <c r="Y599" s="8"/>
      <c r="Z599" s="194"/>
      <c r="AA599" s="194"/>
      <c r="AB599" s="194"/>
      <c r="AC599" s="11"/>
      <c r="AD599" s="11"/>
      <c r="AE599" s="11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3"/>
      <c r="AY599" s="13"/>
      <c r="AZ599" s="13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</row>
    <row r="600" spans="1:63" ht="14.25" customHeight="1" x14ac:dyDescent="0.25">
      <c r="A600" s="9"/>
      <c r="B600" s="2"/>
      <c r="C600" s="3"/>
      <c r="D600" s="9"/>
      <c r="E600" s="9"/>
      <c r="F600" s="9"/>
      <c r="G600" s="9"/>
      <c r="H600" s="9"/>
      <c r="I600" s="8"/>
      <c r="J600" s="8"/>
      <c r="K600" s="8"/>
      <c r="L600" s="8"/>
      <c r="M600" s="8"/>
      <c r="N600" s="8"/>
      <c r="O600" s="8"/>
      <c r="P600" s="9"/>
      <c r="Q600" s="9"/>
      <c r="R600" s="9"/>
      <c r="S600" s="8"/>
      <c r="T600" s="8"/>
      <c r="U600" s="8"/>
      <c r="V600" s="8"/>
      <c r="W600" s="8"/>
      <c r="X600" s="8"/>
      <c r="Y600" s="8"/>
      <c r="Z600" s="194"/>
      <c r="AA600" s="194"/>
      <c r="AB600" s="194"/>
      <c r="AC600" s="11"/>
      <c r="AD600" s="11"/>
      <c r="AE600" s="11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3"/>
      <c r="AY600" s="13"/>
      <c r="AZ600" s="13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</row>
    <row r="601" spans="1:63" ht="14.25" customHeight="1" x14ac:dyDescent="0.25">
      <c r="A601" s="9"/>
      <c r="B601" s="2"/>
      <c r="C601" s="3"/>
      <c r="D601" s="9"/>
      <c r="E601" s="9"/>
      <c r="F601" s="9"/>
      <c r="G601" s="9"/>
      <c r="H601" s="9"/>
      <c r="I601" s="8"/>
      <c r="J601" s="8"/>
      <c r="K601" s="8"/>
      <c r="L601" s="8"/>
      <c r="M601" s="8"/>
      <c r="N601" s="8"/>
      <c r="O601" s="8"/>
      <c r="P601" s="9"/>
      <c r="Q601" s="9"/>
      <c r="R601" s="9"/>
      <c r="S601" s="8"/>
      <c r="T601" s="8"/>
      <c r="U601" s="8"/>
      <c r="V601" s="8"/>
      <c r="W601" s="8"/>
      <c r="X601" s="8"/>
      <c r="Y601" s="8"/>
      <c r="Z601" s="194"/>
      <c r="AA601" s="194"/>
      <c r="AB601" s="194"/>
      <c r="AC601" s="11"/>
      <c r="AD601" s="11"/>
      <c r="AE601" s="11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3"/>
      <c r="AY601" s="13"/>
      <c r="AZ601" s="13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</row>
    <row r="602" spans="1:63" ht="14.25" customHeight="1" x14ac:dyDescent="0.25">
      <c r="A602" s="9"/>
      <c r="B602" s="2"/>
      <c r="C602" s="3"/>
      <c r="D602" s="9"/>
      <c r="E602" s="9"/>
      <c r="F602" s="9"/>
      <c r="G602" s="9"/>
      <c r="H602" s="9"/>
      <c r="I602" s="8"/>
      <c r="J602" s="8"/>
      <c r="K602" s="8"/>
      <c r="L602" s="8"/>
      <c r="M602" s="8"/>
      <c r="N602" s="8"/>
      <c r="O602" s="8"/>
      <c r="P602" s="9"/>
      <c r="Q602" s="9"/>
      <c r="R602" s="9"/>
      <c r="S602" s="8"/>
      <c r="T602" s="8"/>
      <c r="U602" s="8"/>
      <c r="V602" s="8"/>
      <c r="W602" s="8"/>
      <c r="X602" s="8"/>
      <c r="Y602" s="8"/>
      <c r="Z602" s="194"/>
      <c r="AA602" s="194"/>
      <c r="AB602" s="194"/>
      <c r="AC602" s="11"/>
      <c r="AD602" s="11"/>
      <c r="AE602" s="11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3"/>
      <c r="AY602" s="13"/>
      <c r="AZ602" s="13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</row>
    <row r="603" spans="1:63" ht="14.25" customHeight="1" x14ac:dyDescent="0.25">
      <c r="A603" s="9"/>
      <c r="B603" s="2"/>
      <c r="C603" s="3"/>
      <c r="D603" s="9"/>
      <c r="E603" s="9"/>
      <c r="F603" s="9"/>
      <c r="G603" s="9"/>
      <c r="H603" s="9"/>
      <c r="I603" s="8"/>
      <c r="J603" s="8"/>
      <c r="K603" s="8"/>
      <c r="L603" s="8"/>
      <c r="M603" s="8"/>
      <c r="N603" s="8"/>
      <c r="O603" s="8"/>
      <c r="P603" s="9"/>
      <c r="Q603" s="9"/>
      <c r="R603" s="9"/>
      <c r="S603" s="8"/>
      <c r="T603" s="8"/>
      <c r="U603" s="8"/>
      <c r="V603" s="8"/>
      <c r="W603" s="8"/>
      <c r="X603" s="8"/>
      <c r="Y603" s="8"/>
      <c r="Z603" s="194"/>
      <c r="AA603" s="194"/>
      <c r="AB603" s="194"/>
      <c r="AC603" s="11"/>
      <c r="AD603" s="11"/>
      <c r="AE603" s="11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3"/>
      <c r="AY603" s="13"/>
      <c r="AZ603" s="13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</row>
    <row r="604" spans="1:63" ht="14.25" customHeight="1" x14ac:dyDescent="0.25">
      <c r="A604" s="9"/>
      <c r="B604" s="2"/>
      <c r="C604" s="3"/>
      <c r="D604" s="9"/>
      <c r="E604" s="9"/>
      <c r="F604" s="9"/>
      <c r="G604" s="9"/>
      <c r="H604" s="9"/>
      <c r="I604" s="8"/>
      <c r="J604" s="8"/>
      <c r="K604" s="8"/>
      <c r="L604" s="8"/>
      <c r="M604" s="8"/>
      <c r="N604" s="8"/>
      <c r="O604" s="8"/>
      <c r="P604" s="9"/>
      <c r="Q604" s="9"/>
      <c r="R604" s="9"/>
      <c r="S604" s="8"/>
      <c r="T604" s="8"/>
      <c r="U604" s="8"/>
      <c r="V604" s="8"/>
      <c r="W604" s="8"/>
      <c r="X604" s="8"/>
      <c r="Y604" s="8"/>
      <c r="Z604" s="194"/>
      <c r="AA604" s="194"/>
      <c r="AB604" s="194"/>
      <c r="AC604" s="11"/>
      <c r="AD604" s="11"/>
      <c r="AE604" s="11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3"/>
      <c r="AY604" s="13"/>
      <c r="AZ604" s="13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</row>
    <row r="605" spans="1:63" ht="14.25" customHeight="1" x14ac:dyDescent="0.25">
      <c r="A605" s="9"/>
      <c r="B605" s="2"/>
      <c r="C605" s="3"/>
      <c r="D605" s="9"/>
      <c r="E605" s="9"/>
      <c r="F605" s="9"/>
      <c r="G605" s="9"/>
      <c r="H605" s="9"/>
      <c r="I605" s="8"/>
      <c r="J605" s="8"/>
      <c r="K605" s="8"/>
      <c r="L605" s="8"/>
      <c r="M605" s="8"/>
      <c r="N605" s="8"/>
      <c r="O605" s="8"/>
      <c r="P605" s="9"/>
      <c r="Q605" s="9"/>
      <c r="R605" s="9"/>
      <c r="S605" s="8"/>
      <c r="T605" s="8"/>
      <c r="U605" s="8"/>
      <c r="V605" s="8"/>
      <c r="W605" s="8"/>
      <c r="X605" s="8"/>
      <c r="Y605" s="8"/>
      <c r="Z605" s="194"/>
      <c r="AA605" s="194"/>
      <c r="AB605" s="194"/>
      <c r="AC605" s="11"/>
      <c r="AD605" s="11"/>
      <c r="AE605" s="11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3"/>
      <c r="AY605" s="13"/>
      <c r="AZ605" s="13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</row>
    <row r="606" spans="1:63" ht="14.25" customHeight="1" x14ac:dyDescent="0.25">
      <c r="A606" s="9"/>
      <c r="B606" s="2"/>
      <c r="C606" s="3"/>
      <c r="D606" s="9"/>
      <c r="E606" s="9"/>
      <c r="F606" s="9"/>
      <c r="G606" s="9"/>
      <c r="H606" s="9"/>
      <c r="I606" s="8"/>
      <c r="J606" s="8"/>
      <c r="K606" s="8"/>
      <c r="L606" s="8"/>
      <c r="M606" s="8"/>
      <c r="N606" s="8"/>
      <c r="O606" s="8"/>
      <c r="P606" s="9"/>
      <c r="Q606" s="9"/>
      <c r="R606" s="9"/>
      <c r="S606" s="8"/>
      <c r="T606" s="8"/>
      <c r="U606" s="8"/>
      <c r="V606" s="8"/>
      <c r="W606" s="8"/>
      <c r="X606" s="8"/>
      <c r="Y606" s="8"/>
      <c r="Z606" s="194"/>
      <c r="AA606" s="194"/>
      <c r="AB606" s="194"/>
      <c r="AC606" s="11"/>
      <c r="AD606" s="11"/>
      <c r="AE606" s="11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3"/>
      <c r="AY606" s="13"/>
      <c r="AZ606" s="13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</row>
    <row r="607" spans="1:63" ht="14.25" customHeight="1" x14ac:dyDescent="0.25">
      <c r="A607" s="9"/>
      <c r="B607" s="2"/>
      <c r="C607" s="3"/>
      <c r="D607" s="9"/>
      <c r="E607" s="9"/>
      <c r="F607" s="9"/>
      <c r="G607" s="9"/>
      <c r="H607" s="9"/>
      <c r="I607" s="8"/>
      <c r="J607" s="8"/>
      <c r="K607" s="8"/>
      <c r="L607" s="8"/>
      <c r="M607" s="8"/>
      <c r="N607" s="8"/>
      <c r="O607" s="8"/>
      <c r="P607" s="9"/>
      <c r="Q607" s="9"/>
      <c r="R607" s="9"/>
      <c r="S607" s="8"/>
      <c r="T607" s="8"/>
      <c r="U607" s="8"/>
      <c r="V607" s="8"/>
      <c r="W607" s="8"/>
      <c r="X607" s="8"/>
      <c r="Y607" s="8"/>
      <c r="Z607" s="194"/>
      <c r="AA607" s="194"/>
      <c r="AB607" s="194"/>
      <c r="AC607" s="11"/>
      <c r="AD607" s="11"/>
      <c r="AE607" s="11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3"/>
      <c r="AY607" s="13"/>
      <c r="AZ607" s="13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</row>
    <row r="608" spans="1:63" ht="14.25" customHeight="1" x14ac:dyDescent="0.25">
      <c r="A608" s="9"/>
      <c r="B608" s="2"/>
      <c r="C608" s="3"/>
      <c r="D608" s="9"/>
      <c r="E608" s="9"/>
      <c r="F608" s="9"/>
      <c r="G608" s="9"/>
      <c r="H608" s="9"/>
      <c r="I608" s="8"/>
      <c r="J608" s="8"/>
      <c r="K608" s="8"/>
      <c r="L608" s="8"/>
      <c r="M608" s="8"/>
      <c r="N608" s="8"/>
      <c r="O608" s="8"/>
      <c r="P608" s="9"/>
      <c r="Q608" s="9"/>
      <c r="R608" s="9"/>
      <c r="S608" s="8"/>
      <c r="T608" s="8"/>
      <c r="U608" s="8"/>
      <c r="V608" s="8"/>
      <c r="W608" s="8"/>
      <c r="X608" s="8"/>
      <c r="Y608" s="8"/>
      <c r="Z608" s="194"/>
      <c r="AA608" s="194"/>
      <c r="AB608" s="194"/>
      <c r="AC608" s="11"/>
      <c r="AD608" s="11"/>
      <c r="AE608" s="11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3"/>
      <c r="AY608" s="13"/>
      <c r="AZ608" s="13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</row>
    <row r="609" spans="1:63" ht="14.25" customHeight="1" x14ac:dyDescent="0.25">
      <c r="A609" s="9"/>
      <c r="B609" s="2"/>
      <c r="C609" s="3"/>
      <c r="D609" s="9"/>
      <c r="E609" s="9"/>
      <c r="F609" s="9"/>
      <c r="G609" s="9"/>
      <c r="H609" s="9"/>
      <c r="I609" s="8"/>
      <c r="J609" s="8"/>
      <c r="K609" s="8"/>
      <c r="L609" s="8"/>
      <c r="M609" s="8"/>
      <c r="N609" s="8"/>
      <c r="O609" s="8"/>
      <c r="P609" s="9"/>
      <c r="Q609" s="9"/>
      <c r="R609" s="9"/>
      <c r="S609" s="8"/>
      <c r="T609" s="8"/>
      <c r="U609" s="8"/>
      <c r="V609" s="8"/>
      <c r="W609" s="8"/>
      <c r="X609" s="8"/>
      <c r="Y609" s="8"/>
      <c r="Z609" s="194"/>
      <c r="AA609" s="194"/>
      <c r="AB609" s="194"/>
      <c r="AC609" s="11"/>
      <c r="AD609" s="11"/>
      <c r="AE609" s="11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3"/>
      <c r="AY609" s="13"/>
      <c r="AZ609" s="13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</row>
    <row r="610" spans="1:63" ht="14.25" customHeight="1" x14ac:dyDescent="0.25">
      <c r="A610" s="9"/>
      <c r="B610" s="2"/>
      <c r="C610" s="3"/>
      <c r="D610" s="9"/>
      <c r="E610" s="9"/>
      <c r="F610" s="9"/>
      <c r="G610" s="9"/>
      <c r="H610" s="9"/>
      <c r="I610" s="8"/>
      <c r="J610" s="8"/>
      <c r="K610" s="8"/>
      <c r="L610" s="8"/>
      <c r="M610" s="8"/>
      <c r="N610" s="8"/>
      <c r="O610" s="8"/>
      <c r="P610" s="9"/>
      <c r="Q610" s="9"/>
      <c r="R610" s="9"/>
      <c r="S610" s="8"/>
      <c r="T610" s="8"/>
      <c r="U610" s="8"/>
      <c r="V610" s="8"/>
      <c r="W610" s="8"/>
      <c r="X610" s="8"/>
      <c r="Y610" s="8"/>
      <c r="Z610" s="194"/>
      <c r="AA610" s="194"/>
      <c r="AB610" s="194"/>
      <c r="AC610" s="11"/>
      <c r="AD610" s="11"/>
      <c r="AE610" s="11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3"/>
      <c r="AY610" s="13"/>
      <c r="AZ610" s="13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</row>
    <row r="611" spans="1:63" ht="14.25" customHeight="1" x14ac:dyDescent="0.25">
      <c r="A611" s="9"/>
      <c r="B611" s="2"/>
      <c r="C611" s="3"/>
      <c r="D611" s="9"/>
      <c r="E611" s="9"/>
      <c r="F611" s="9"/>
      <c r="G611" s="9"/>
      <c r="H611" s="9"/>
      <c r="I611" s="8"/>
      <c r="J611" s="8"/>
      <c r="K611" s="8"/>
      <c r="L611" s="8"/>
      <c r="M611" s="8"/>
      <c r="N611" s="8"/>
      <c r="O611" s="8"/>
      <c r="P611" s="9"/>
      <c r="Q611" s="9"/>
      <c r="R611" s="9"/>
      <c r="S611" s="8"/>
      <c r="T611" s="8"/>
      <c r="U611" s="8"/>
      <c r="V611" s="8"/>
      <c r="W611" s="8"/>
      <c r="X611" s="8"/>
      <c r="Y611" s="8"/>
      <c r="Z611" s="194"/>
      <c r="AA611" s="194"/>
      <c r="AB611" s="194"/>
      <c r="AC611" s="11"/>
      <c r="AD611" s="11"/>
      <c r="AE611" s="11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3"/>
      <c r="AY611" s="13"/>
      <c r="AZ611" s="13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</row>
    <row r="612" spans="1:63" ht="14.25" customHeight="1" x14ac:dyDescent="0.25">
      <c r="A612" s="9"/>
      <c r="B612" s="2"/>
      <c r="C612" s="3"/>
      <c r="D612" s="9"/>
      <c r="E612" s="9"/>
      <c r="F612" s="9"/>
      <c r="G612" s="9"/>
      <c r="H612" s="9"/>
      <c r="I612" s="8"/>
      <c r="J612" s="8"/>
      <c r="K612" s="8"/>
      <c r="L612" s="8"/>
      <c r="M612" s="8"/>
      <c r="N612" s="8"/>
      <c r="O612" s="8"/>
      <c r="P612" s="9"/>
      <c r="Q612" s="9"/>
      <c r="R612" s="9"/>
      <c r="S612" s="8"/>
      <c r="T612" s="8"/>
      <c r="U612" s="8"/>
      <c r="V612" s="8"/>
      <c r="W612" s="8"/>
      <c r="X612" s="8"/>
      <c r="Y612" s="8"/>
      <c r="Z612" s="194"/>
      <c r="AA612" s="194"/>
      <c r="AB612" s="194"/>
      <c r="AC612" s="11"/>
      <c r="AD612" s="11"/>
      <c r="AE612" s="11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3"/>
      <c r="AY612" s="13"/>
      <c r="AZ612" s="13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</row>
    <row r="613" spans="1:63" ht="14.25" customHeight="1" x14ac:dyDescent="0.25">
      <c r="A613" s="9"/>
      <c r="B613" s="2"/>
      <c r="C613" s="3"/>
      <c r="D613" s="9"/>
      <c r="E613" s="9"/>
      <c r="F613" s="9"/>
      <c r="G613" s="9"/>
      <c r="H613" s="9"/>
      <c r="I613" s="8"/>
      <c r="J613" s="8"/>
      <c r="K613" s="8"/>
      <c r="L613" s="8"/>
      <c r="M613" s="8"/>
      <c r="N613" s="8"/>
      <c r="O613" s="8"/>
      <c r="P613" s="9"/>
      <c r="Q613" s="9"/>
      <c r="R613" s="9"/>
      <c r="S613" s="8"/>
      <c r="T613" s="8"/>
      <c r="U613" s="8"/>
      <c r="V613" s="8"/>
      <c r="W613" s="8"/>
      <c r="X613" s="8"/>
      <c r="Y613" s="8"/>
      <c r="Z613" s="194"/>
      <c r="AA613" s="194"/>
      <c r="AB613" s="194"/>
      <c r="AC613" s="11"/>
      <c r="AD613" s="11"/>
      <c r="AE613" s="11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3"/>
      <c r="AY613" s="13"/>
      <c r="AZ613" s="13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</row>
    <row r="614" spans="1:63" ht="14.25" customHeight="1" x14ac:dyDescent="0.25">
      <c r="A614" s="9"/>
      <c r="B614" s="2"/>
      <c r="C614" s="3"/>
      <c r="D614" s="9"/>
      <c r="E614" s="9"/>
      <c r="F614" s="9"/>
      <c r="G614" s="9"/>
      <c r="H614" s="9"/>
      <c r="I614" s="8"/>
      <c r="J614" s="8"/>
      <c r="K614" s="8"/>
      <c r="L614" s="8"/>
      <c r="M614" s="8"/>
      <c r="N614" s="8"/>
      <c r="O614" s="8"/>
      <c r="P614" s="9"/>
      <c r="Q614" s="9"/>
      <c r="R614" s="9"/>
      <c r="S614" s="8"/>
      <c r="T614" s="8"/>
      <c r="U614" s="8"/>
      <c r="V614" s="8"/>
      <c r="W614" s="8"/>
      <c r="X614" s="8"/>
      <c r="Y614" s="8"/>
      <c r="Z614" s="194"/>
      <c r="AA614" s="194"/>
      <c r="AB614" s="194"/>
      <c r="AC614" s="11"/>
      <c r="AD614" s="11"/>
      <c r="AE614" s="11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3"/>
      <c r="AY614" s="13"/>
      <c r="AZ614" s="13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</row>
    <row r="615" spans="1:63" ht="14.25" customHeight="1" x14ac:dyDescent="0.25">
      <c r="A615" s="9"/>
      <c r="B615" s="2"/>
      <c r="C615" s="3"/>
      <c r="D615" s="9"/>
      <c r="E615" s="9"/>
      <c r="F615" s="9"/>
      <c r="G615" s="9"/>
      <c r="H615" s="9"/>
      <c r="I615" s="8"/>
      <c r="J615" s="8"/>
      <c r="K615" s="8"/>
      <c r="L615" s="8"/>
      <c r="M615" s="8"/>
      <c r="N615" s="8"/>
      <c r="O615" s="8"/>
      <c r="P615" s="9"/>
      <c r="Q615" s="9"/>
      <c r="R615" s="9"/>
      <c r="S615" s="8"/>
      <c r="T615" s="8"/>
      <c r="U615" s="8"/>
      <c r="V615" s="8"/>
      <c r="W615" s="8"/>
      <c r="X615" s="8"/>
      <c r="Y615" s="8"/>
      <c r="Z615" s="194"/>
      <c r="AA615" s="194"/>
      <c r="AB615" s="194"/>
      <c r="AC615" s="11"/>
      <c r="AD615" s="11"/>
      <c r="AE615" s="11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3"/>
      <c r="AY615" s="13"/>
      <c r="AZ615" s="13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</row>
    <row r="616" spans="1:63" ht="14.25" customHeight="1" x14ac:dyDescent="0.25">
      <c r="A616" s="9"/>
      <c r="B616" s="2"/>
      <c r="C616" s="3"/>
      <c r="D616" s="9"/>
      <c r="E616" s="9"/>
      <c r="F616" s="9"/>
      <c r="G616" s="9"/>
      <c r="H616" s="9"/>
      <c r="I616" s="8"/>
      <c r="J616" s="8"/>
      <c r="K616" s="8"/>
      <c r="L616" s="8"/>
      <c r="M616" s="8"/>
      <c r="N616" s="8"/>
      <c r="O616" s="8"/>
      <c r="P616" s="9"/>
      <c r="Q616" s="9"/>
      <c r="R616" s="9"/>
      <c r="S616" s="8"/>
      <c r="T616" s="8"/>
      <c r="U616" s="8"/>
      <c r="V616" s="8"/>
      <c r="W616" s="8"/>
      <c r="X616" s="8"/>
      <c r="Y616" s="8"/>
      <c r="Z616" s="194"/>
      <c r="AA616" s="194"/>
      <c r="AB616" s="194"/>
      <c r="AC616" s="11"/>
      <c r="AD616" s="11"/>
      <c r="AE616" s="11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3"/>
      <c r="AY616" s="13"/>
      <c r="AZ616" s="13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</row>
    <row r="617" spans="1:63" ht="14.25" customHeight="1" x14ac:dyDescent="0.25">
      <c r="A617" s="9"/>
      <c r="B617" s="2"/>
      <c r="C617" s="3"/>
      <c r="D617" s="9"/>
      <c r="E617" s="9"/>
      <c r="F617" s="9"/>
      <c r="G617" s="9"/>
      <c r="H617" s="9"/>
      <c r="I617" s="8"/>
      <c r="J617" s="8"/>
      <c r="K617" s="8"/>
      <c r="L617" s="8"/>
      <c r="M617" s="8"/>
      <c r="N617" s="8"/>
      <c r="O617" s="8"/>
      <c r="P617" s="9"/>
      <c r="Q617" s="9"/>
      <c r="R617" s="9"/>
      <c r="S617" s="8"/>
      <c r="T617" s="8"/>
      <c r="U617" s="8"/>
      <c r="V617" s="8"/>
      <c r="W617" s="8"/>
      <c r="X617" s="8"/>
      <c r="Y617" s="8"/>
      <c r="Z617" s="194"/>
      <c r="AA617" s="194"/>
      <c r="AB617" s="194"/>
      <c r="AC617" s="11"/>
      <c r="AD617" s="11"/>
      <c r="AE617" s="11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3"/>
      <c r="AY617" s="13"/>
      <c r="AZ617" s="13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</row>
    <row r="618" spans="1:63" ht="14.25" customHeight="1" x14ac:dyDescent="0.25">
      <c r="A618" s="9"/>
      <c r="B618" s="2"/>
      <c r="C618" s="3"/>
      <c r="D618" s="9"/>
      <c r="E618" s="9"/>
      <c r="F618" s="9"/>
      <c r="G618" s="9"/>
      <c r="H618" s="9"/>
      <c r="I618" s="8"/>
      <c r="J618" s="8"/>
      <c r="K618" s="8"/>
      <c r="L618" s="8"/>
      <c r="M618" s="8"/>
      <c r="N618" s="8"/>
      <c r="O618" s="8"/>
      <c r="P618" s="9"/>
      <c r="Q618" s="9"/>
      <c r="R618" s="9"/>
      <c r="S618" s="8"/>
      <c r="T618" s="8"/>
      <c r="U618" s="8"/>
      <c r="V618" s="8"/>
      <c r="W618" s="8"/>
      <c r="X618" s="8"/>
      <c r="Y618" s="8"/>
      <c r="Z618" s="194"/>
      <c r="AA618" s="194"/>
      <c r="AB618" s="194"/>
      <c r="AC618" s="11"/>
      <c r="AD618" s="11"/>
      <c r="AE618" s="11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3"/>
      <c r="AY618" s="13"/>
      <c r="AZ618" s="13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</row>
    <row r="619" spans="1:63" ht="14.25" customHeight="1" x14ac:dyDescent="0.25">
      <c r="A619" s="9"/>
      <c r="B619" s="2"/>
      <c r="C619" s="3"/>
      <c r="D619" s="9"/>
      <c r="E619" s="9"/>
      <c r="F619" s="9"/>
      <c r="G619" s="9"/>
      <c r="H619" s="9"/>
      <c r="I619" s="8"/>
      <c r="J619" s="8"/>
      <c r="K619" s="8"/>
      <c r="L619" s="8"/>
      <c r="M619" s="8"/>
      <c r="N619" s="8"/>
      <c r="O619" s="8"/>
      <c r="P619" s="9"/>
      <c r="Q619" s="9"/>
      <c r="R619" s="9"/>
      <c r="S619" s="8"/>
      <c r="T619" s="8"/>
      <c r="U619" s="8"/>
      <c r="V619" s="8"/>
      <c r="W619" s="8"/>
      <c r="X619" s="8"/>
      <c r="Y619" s="8"/>
      <c r="Z619" s="194"/>
      <c r="AA619" s="194"/>
      <c r="AB619" s="194"/>
      <c r="AC619" s="11"/>
      <c r="AD619" s="11"/>
      <c r="AE619" s="11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3"/>
      <c r="AY619" s="13"/>
      <c r="AZ619" s="13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</row>
    <row r="620" spans="1:63" ht="14.25" customHeight="1" x14ac:dyDescent="0.25">
      <c r="A620" s="9"/>
      <c r="B620" s="2"/>
      <c r="C620" s="3"/>
      <c r="D620" s="9"/>
      <c r="E620" s="9"/>
      <c r="F620" s="9"/>
      <c r="G620" s="9"/>
      <c r="H620" s="9"/>
      <c r="I620" s="8"/>
      <c r="J620" s="8"/>
      <c r="K620" s="8"/>
      <c r="L620" s="8"/>
      <c r="M620" s="8"/>
      <c r="N620" s="8"/>
      <c r="O620" s="8"/>
      <c r="P620" s="9"/>
      <c r="Q620" s="9"/>
      <c r="R620" s="9"/>
      <c r="S620" s="8"/>
      <c r="T620" s="8"/>
      <c r="U620" s="8"/>
      <c r="V620" s="8"/>
      <c r="W620" s="8"/>
      <c r="X620" s="8"/>
      <c r="Y620" s="8"/>
      <c r="Z620" s="194"/>
      <c r="AA620" s="194"/>
      <c r="AB620" s="194"/>
      <c r="AC620" s="11"/>
      <c r="AD620" s="11"/>
      <c r="AE620" s="11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3"/>
      <c r="AY620" s="13"/>
      <c r="AZ620" s="13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</row>
    <row r="621" spans="1:63" ht="14.25" customHeight="1" x14ac:dyDescent="0.25">
      <c r="A621" s="9"/>
      <c r="B621" s="2"/>
      <c r="C621" s="3"/>
      <c r="D621" s="9"/>
      <c r="E621" s="9"/>
      <c r="F621" s="9"/>
      <c r="G621" s="9"/>
      <c r="H621" s="9"/>
      <c r="I621" s="8"/>
      <c r="J621" s="8"/>
      <c r="K621" s="8"/>
      <c r="L621" s="8"/>
      <c r="M621" s="8"/>
      <c r="N621" s="8"/>
      <c r="O621" s="8"/>
      <c r="P621" s="9"/>
      <c r="Q621" s="9"/>
      <c r="R621" s="9"/>
      <c r="S621" s="8"/>
      <c r="T621" s="8"/>
      <c r="U621" s="8"/>
      <c r="V621" s="8"/>
      <c r="W621" s="8"/>
      <c r="X621" s="8"/>
      <c r="Y621" s="8"/>
      <c r="Z621" s="194"/>
      <c r="AA621" s="194"/>
      <c r="AB621" s="194"/>
      <c r="AC621" s="11"/>
      <c r="AD621" s="11"/>
      <c r="AE621" s="11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3"/>
      <c r="AY621" s="13"/>
      <c r="AZ621" s="13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</row>
    <row r="622" spans="1:63" ht="14.25" customHeight="1" x14ac:dyDescent="0.25">
      <c r="A622" s="9"/>
      <c r="B622" s="2"/>
      <c r="C622" s="3"/>
      <c r="D622" s="9"/>
      <c r="E622" s="9"/>
      <c r="F622" s="9"/>
      <c r="G622" s="9"/>
      <c r="H622" s="9"/>
      <c r="I622" s="8"/>
      <c r="J622" s="8"/>
      <c r="K622" s="8"/>
      <c r="L622" s="8"/>
      <c r="M622" s="8"/>
      <c r="N622" s="8"/>
      <c r="O622" s="8"/>
      <c r="P622" s="9"/>
      <c r="Q622" s="9"/>
      <c r="R622" s="9"/>
      <c r="S622" s="8"/>
      <c r="T622" s="8"/>
      <c r="U622" s="8"/>
      <c r="V622" s="8"/>
      <c r="W622" s="8"/>
      <c r="X622" s="8"/>
      <c r="Y622" s="8"/>
      <c r="Z622" s="194"/>
      <c r="AA622" s="194"/>
      <c r="AB622" s="194"/>
      <c r="AC622" s="11"/>
      <c r="AD622" s="11"/>
      <c r="AE622" s="11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3"/>
      <c r="AY622" s="13"/>
      <c r="AZ622" s="13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</row>
    <row r="623" spans="1:63" ht="14.25" customHeight="1" x14ac:dyDescent="0.25">
      <c r="A623" s="9"/>
      <c r="B623" s="2"/>
      <c r="C623" s="3"/>
      <c r="D623" s="9"/>
      <c r="E623" s="9"/>
      <c r="F623" s="9"/>
      <c r="G623" s="9"/>
      <c r="H623" s="9"/>
      <c r="I623" s="8"/>
      <c r="J623" s="8"/>
      <c r="K623" s="8"/>
      <c r="L623" s="8"/>
      <c r="M623" s="8"/>
      <c r="N623" s="8"/>
      <c r="O623" s="8"/>
      <c r="P623" s="9"/>
      <c r="Q623" s="9"/>
      <c r="R623" s="9"/>
      <c r="S623" s="8"/>
      <c r="T623" s="8"/>
      <c r="U623" s="8"/>
      <c r="V623" s="8"/>
      <c r="W623" s="8"/>
      <c r="X623" s="8"/>
      <c r="Y623" s="8"/>
      <c r="Z623" s="194"/>
      <c r="AA623" s="194"/>
      <c r="AB623" s="194"/>
      <c r="AC623" s="11"/>
      <c r="AD623" s="11"/>
      <c r="AE623" s="11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3"/>
      <c r="AY623" s="13"/>
      <c r="AZ623" s="13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</row>
    <row r="624" spans="1:63" ht="14.25" customHeight="1" x14ac:dyDescent="0.25">
      <c r="A624" s="9"/>
      <c r="B624" s="2"/>
      <c r="C624" s="3"/>
      <c r="D624" s="9"/>
      <c r="E624" s="9"/>
      <c r="F624" s="9"/>
      <c r="G624" s="9"/>
      <c r="H624" s="9"/>
      <c r="I624" s="8"/>
      <c r="J624" s="8"/>
      <c r="K624" s="8"/>
      <c r="L624" s="8"/>
      <c r="M624" s="8"/>
      <c r="N624" s="8"/>
      <c r="O624" s="8"/>
      <c r="P624" s="9"/>
      <c r="Q624" s="9"/>
      <c r="R624" s="9"/>
      <c r="S624" s="8"/>
      <c r="T624" s="8"/>
      <c r="U624" s="8"/>
      <c r="V624" s="8"/>
      <c r="W624" s="8"/>
      <c r="X624" s="8"/>
      <c r="Y624" s="8"/>
      <c r="Z624" s="194"/>
      <c r="AA624" s="194"/>
      <c r="AB624" s="194"/>
      <c r="AC624" s="11"/>
      <c r="AD624" s="11"/>
      <c r="AE624" s="11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3"/>
      <c r="AY624" s="13"/>
      <c r="AZ624" s="13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</row>
    <row r="625" spans="1:63" ht="14.25" customHeight="1" x14ac:dyDescent="0.25">
      <c r="A625" s="9"/>
      <c r="B625" s="2"/>
      <c r="C625" s="3"/>
      <c r="D625" s="9"/>
      <c r="E625" s="9"/>
      <c r="F625" s="9"/>
      <c r="G625" s="9"/>
      <c r="H625" s="9"/>
      <c r="I625" s="8"/>
      <c r="J625" s="8"/>
      <c r="K625" s="8"/>
      <c r="L625" s="8"/>
      <c r="M625" s="8"/>
      <c r="N625" s="8"/>
      <c r="O625" s="8"/>
      <c r="P625" s="9"/>
      <c r="Q625" s="9"/>
      <c r="R625" s="9"/>
      <c r="S625" s="8"/>
      <c r="T625" s="8"/>
      <c r="U625" s="8"/>
      <c r="V625" s="8"/>
      <c r="W625" s="8"/>
      <c r="X625" s="8"/>
      <c r="Y625" s="8"/>
      <c r="Z625" s="194"/>
      <c r="AA625" s="194"/>
      <c r="AB625" s="194"/>
      <c r="AC625" s="11"/>
      <c r="AD625" s="11"/>
      <c r="AE625" s="11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3"/>
      <c r="AY625" s="13"/>
      <c r="AZ625" s="13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</row>
    <row r="626" spans="1:63" ht="14.25" customHeight="1" x14ac:dyDescent="0.25">
      <c r="A626" s="9"/>
      <c r="B626" s="2"/>
      <c r="C626" s="3"/>
      <c r="D626" s="9"/>
      <c r="E626" s="9"/>
      <c r="F626" s="9"/>
      <c r="G626" s="9"/>
      <c r="H626" s="9"/>
      <c r="I626" s="8"/>
      <c r="J626" s="8"/>
      <c r="K626" s="8"/>
      <c r="L626" s="8"/>
      <c r="M626" s="8"/>
      <c r="N626" s="8"/>
      <c r="O626" s="8"/>
      <c r="P626" s="9"/>
      <c r="Q626" s="9"/>
      <c r="R626" s="9"/>
      <c r="S626" s="8"/>
      <c r="T626" s="8"/>
      <c r="U626" s="8"/>
      <c r="V626" s="8"/>
      <c r="W626" s="8"/>
      <c r="X626" s="8"/>
      <c r="Y626" s="8"/>
      <c r="Z626" s="194"/>
      <c r="AA626" s="194"/>
      <c r="AB626" s="194"/>
      <c r="AC626" s="11"/>
      <c r="AD626" s="11"/>
      <c r="AE626" s="11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3"/>
      <c r="AY626" s="13"/>
      <c r="AZ626" s="13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</row>
    <row r="627" spans="1:63" ht="14.25" customHeight="1" x14ac:dyDescent="0.25">
      <c r="A627" s="9"/>
      <c r="B627" s="2"/>
      <c r="C627" s="3"/>
      <c r="D627" s="9"/>
      <c r="E627" s="9"/>
      <c r="F627" s="9"/>
      <c r="G627" s="9"/>
      <c r="H627" s="9"/>
      <c r="I627" s="8"/>
      <c r="J627" s="8"/>
      <c r="K627" s="8"/>
      <c r="L627" s="8"/>
      <c r="M627" s="8"/>
      <c r="N627" s="8"/>
      <c r="O627" s="8"/>
      <c r="P627" s="9"/>
      <c r="Q627" s="9"/>
      <c r="R627" s="9"/>
      <c r="S627" s="8"/>
      <c r="T627" s="8"/>
      <c r="U627" s="8"/>
      <c r="V627" s="8"/>
      <c r="W627" s="8"/>
      <c r="X627" s="8"/>
      <c r="Y627" s="8"/>
      <c r="Z627" s="194"/>
      <c r="AA627" s="194"/>
      <c r="AB627" s="194"/>
      <c r="AC627" s="11"/>
      <c r="AD627" s="11"/>
      <c r="AE627" s="11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3"/>
      <c r="AY627" s="13"/>
      <c r="AZ627" s="13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</row>
    <row r="628" spans="1:63" ht="14.25" customHeight="1" x14ac:dyDescent="0.25">
      <c r="A628" s="9"/>
      <c r="B628" s="2"/>
      <c r="C628" s="3"/>
      <c r="D628" s="9"/>
      <c r="E628" s="9"/>
      <c r="F628" s="9"/>
      <c r="G628" s="9"/>
      <c r="H628" s="9"/>
      <c r="I628" s="8"/>
      <c r="J628" s="8"/>
      <c r="K628" s="8"/>
      <c r="L628" s="8"/>
      <c r="M628" s="8"/>
      <c r="N628" s="8"/>
      <c r="O628" s="8"/>
      <c r="P628" s="9"/>
      <c r="Q628" s="9"/>
      <c r="R628" s="9"/>
      <c r="S628" s="8"/>
      <c r="T628" s="8"/>
      <c r="U628" s="8"/>
      <c r="V628" s="8"/>
      <c r="W628" s="8"/>
      <c r="X628" s="8"/>
      <c r="Y628" s="8"/>
      <c r="Z628" s="194"/>
      <c r="AA628" s="194"/>
      <c r="AB628" s="194"/>
      <c r="AC628" s="11"/>
      <c r="AD628" s="11"/>
      <c r="AE628" s="11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3"/>
      <c r="AY628" s="13"/>
      <c r="AZ628" s="13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</row>
    <row r="629" spans="1:63" ht="14.25" customHeight="1" x14ac:dyDescent="0.25">
      <c r="A629" s="9"/>
      <c r="B629" s="2"/>
      <c r="C629" s="3"/>
      <c r="D629" s="9"/>
      <c r="E629" s="9"/>
      <c r="F629" s="9"/>
      <c r="G629" s="9"/>
      <c r="H629" s="9"/>
      <c r="I629" s="8"/>
      <c r="J629" s="8"/>
      <c r="K629" s="8"/>
      <c r="L629" s="8"/>
      <c r="M629" s="8"/>
      <c r="N629" s="8"/>
      <c r="O629" s="8"/>
      <c r="P629" s="9"/>
      <c r="Q629" s="9"/>
      <c r="R629" s="9"/>
      <c r="S629" s="8"/>
      <c r="T629" s="8"/>
      <c r="U629" s="8"/>
      <c r="V629" s="8"/>
      <c r="W629" s="8"/>
      <c r="X629" s="8"/>
      <c r="Y629" s="8"/>
      <c r="Z629" s="194"/>
      <c r="AA629" s="194"/>
      <c r="AB629" s="194"/>
      <c r="AC629" s="11"/>
      <c r="AD629" s="11"/>
      <c r="AE629" s="11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3"/>
      <c r="AY629" s="13"/>
      <c r="AZ629" s="13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</row>
    <row r="630" spans="1:63" ht="14.25" customHeight="1" x14ac:dyDescent="0.25">
      <c r="A630" s="9"/>
      <c r="B630" s="2"/>
      <c r="C630" s="3"/>
      <c r="D630" s="9"/>
      <c r="E630" s="9"/>
      <c r="F630" s="9"/>
      <c r="G630" s="9"/>
      <c r="H630" s="9"/>
      <c r="I630" s="8"/>
      <c r="J630" s="8"/>
      <c r="K630" s="8"/>
      <c r="L630" s="8"/>
      <c r="M630" s="8"/>
      <c r="N630" s="8"/>
      <c r="O630" s="8"/>
      <c r="P630" s="9"/>
      <c r="Q630" s="9"/>
      <c r="R630" s="9"/>
      <c r="S630" s="8"/>
      <c r="T630" s="8"/>
      <c r="U630" s="8"/>
      <c r="V630" s="8"/>
      <c r="W630" s="8"/>
      <c r="X630" s="8"/>
      <c r="Y630" s="8"/>
      <c r="Z630" s="194"/>
      <c r="AA630" s="194"/>
      <c r="AB630" s="194"/>
      <c r="AC630" s="11"/>
      <c r="AD630" s="11"/>
      <c r="AE630" s="11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3"/>
      <c r="AY630" s="13"/>
      <c r="AZ630" s="13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</row>
    <row r="631" spans="1:63" ht="14.25" customHeight="1" x14ac:dyDescent="0.25">
      <c r="A631" s="9"/>
      <c r="B631" s="2"/>
      <c r="C631" s="3"/>
      <c r="D631" s="9"/>
      <c r="E631" s="9"/>
      <c r="F631" s="9"/>
      <c r="G631" s="9"/>
      <c r="H631" s="9"/>
      <c r="I631" s="8"/>
      <c r="J631" s="8"/>
      <c r="K631" s="8"/>
      <c r="L631" s="8"/>
      <c r="M631" s="8"/>
      <c r="N631" s="8"/>
      <c r="O631" s="8"/>
      <c r="P631" s="9"/>
      <c r="Q631" s="9"/>
      <c r="R631" s="9"/>
      <c r="S631" s="8"/>
      <c r="T631" s="8"/>
      <c r="U631" s="8"/>
      <c r="V631" s="8"/>
      <c r="W631" s="8"/>
      <c r="X631" s="8"/>
      <c r="Y631" s="8"/>
      <c r="Z631" s="194"/>
      <c r="AA631" s="194"/>
      <c r="AB631" s="194"/>
      <c r="AC631" s="11"/>
      <c r="AD631" s="11"/>
      <c r="AE631" s="11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3"/>
      <c r="AY631" s="13"/>
      <c r="AZ631" s="13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</row>
    <row r="632" spans="1:63" ht="14.25" customHeight="1" x14ac:dyDescent="0.25">
      <c r="A632" s="9"/>
      <c r="B632" s="2"/>
      <c r="C632" s="3"/>
      <c r="D632" s="9"/>
      <c r="E632" s="9"/>
      <c r="F632" s="9"/>
      <c r="G632" s="9"/>
      <c r="H632" s="9"/>
      <c r="I632" s="8"/>
      <c r="J632" s="8"/>
      <c r="K632" s="8"/>
      <c r="L632" s="8"/>
      <c r="M632" s="8"/>
      <c r="N632" s="8"/>
      <c r="O632" s="8"/>
      <c r="P632" s="9"/>
      <c r="Q632" s="9"/>
      <c r="R632" s="9"/>
      <c r="S632" s="8"/>
      <c r="T632" s="8"/>
      <c r="U632" s="8"/>
      <c r="V632" s="8"/>
      <c r="W632" s="8"/>
      <c r="X632" s="8"/>
      <c r="Y632" s="8"/>
      <c r="Z632" s="194"/>
      <c r="AA632" s="194"/>
      <c r="AB632" s="194"/>
      <c r="AC632" s="11"/>
      <c r="AD632" s="11"/>
      <c r="AE632" s="11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3"/>
      <c r="AY632" s="13"/>
      <c r="AZ632" s="13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</row>
    <row r="633" spans="1:63" ht="14.25" customHeight="1" x14ac:dyDescent="0.25">
      <c r="A633" s="9"/>
      <c r="B633" s="2"/>
      <c r="C633" s="3"/>
      <c r="D633" s="9"/>
      <c r="E633" s="9"/>
      <c r="F633" s="9"/>
      <c r="G633" s="9"/>
      <c r="H633" s="9"/>
      <c r="I633" s="8"/>
      <c r="J633" s="8"/>
      <c r="K633" s="8"/>
      <c r="L633" s="8"/>
      <c r="M633" s="8"/>
      <c r="N633" s="8"/>
      <c r="O633" s="8"/>
      <c r="P633" s="9"/>
      <c r="Q633" s="9"/>
      <c r="R633" s="9"/>
      <c r="S633" s="8"/>
      <c r="T633" s="8"/>
      <c r="U633" s="8"/>
      <c r="V633" s="8"/>
      <c r="W633" s="8"/>
      <c r="X633" s="8"/>
      <c r="Y633" s="8"/>
      <c r="Z633" s="194"/>
      <c r="AA633" s="194"/>
      <c r="AB633" s="194"/>
      <c r="AC633" s="11"/>
      <c r="AD633" s="11"/>
      <c r="AE633" s="11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3"/>
      <c r="AY633" s="13"/>
      <c r="AZ633" s="13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</row>
    <row r="634" spans="1:63" ht="14.25" customHeight="1" x14ac:dyDescent="0.25">
      <c r="A634" s="9"/>
      <c r="B634" s="2"/>
      <c r="C634" s="3"/>
      <c r="D634" s="9"/>
      <c r="E634" s="9"/>
      <c r="F634" s="9"/>
      <c r="G634" s="9"/>
      <c r="H634" s="9"/>
      <c r="I634" s="8"/>
      <c r="J634" s="8"/>
      <c r="K634" s="8"/>
      <c r="L634" s="8"/>
      <c r="M634" s="8"/>
      <c r="N634" s="8"/>
      <c r="O634" s="8"/>
      <c r="P634" s="9"/>
      <c r="Q634" s="9"/>
      <c r="R634" s="9"/>
      <c r="S634" s="8"/>
      <c r="T634" s="8"/>
      <c r="U634" s="8"/>
      <c r="V634" s="8"/>
      <c r="W634" s="8"/>
      <c r="X634" s="8"/>
      <c r="Y634" s="8"/>
      <c r="Z634" s="194"/>
      <c r="AA634" s="194"/>
      <c r="AB634" s="194"/>
      <c r="AC634" s="11"/>
      <c r="AD634" s="11"/>
      <c r="AE634" s="11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3"/>
      <c r="AY634" s="13"/>
      <c r="AZ634" s="13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</row>
    <row r="635" spans="1:63" ht="14.25" customHeight="1" x14ac:dyDescent="0.25">
      <c r="A635" s="9"/>
      <c r="B635" s="2"/>
      <c r="C635" s="3"/>
      <c r="D635" s="9"/>
      <c r="E635" s="9"/>
      <c r="F635" s="9"/>
      <c r="G635" s="9"/>
      <c r="H635" s="9"/>
      <c r="I635" s="8"/>
      <c r="J635" s="8"/>
      <c r="K635" s="8"/>
      <c r="L635" s="8"/>
      <c r="M635" s="8"/>
      <c r="N635" s="8"/>
      <c r="O635" s="8"/>
      <c r="P635" s="9"/>
      <c r="Q635" s="9"/>
      <c r="R635" s="9"/>
      <c r="S635" s="8"/>
      <c r="T635" s="8"/>
      <c r="U635" s="8"/>
      <c r="V635" s="8"/>
      <c r="W635" s="8"/>
      <c r="X635" s="8"/>
      <c r="Y635" s="8"/>
      <c r="Z635" s="194"/>
      <c r="AA635" s="194"/>
      <c r="AB635" s="194"/>
      <c r="AC635" s="11"/>
      <c r="AD635" s="11"/>
      <c r="AE635" s="11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3"/>
      <c r="AY635" s="13"/>
      <c r="AZ635" s="13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</row>
    <row r="636" spans="1:63" ht="14.25" customHeight="1" x14ac:dyDescent="0.25">
      <c r="A636" s="9"/>
      <c r="B636" s="2"/>
      <c r="C636" s="3"/>
      <c r="D636" s="9"/>
      <c r="E636" s="9"/>
      <c r="F636" s="9"/>
      <c r="G636" s="9"/>
      <c r="H636" s="9"/>
      <c r="I636" s="8"/>
      <c r="J636" s="8"/>
      <c r="K636" s="8"/>
      <c r="L636" s="8"/>
      <c r="M636" s="8"/>
      <c r="N636" s="8"/>
      <c r="O636" s="8"/>
      <c r="P636" s="9"/>
      <c r="Q636" s="9"/>
      <c r="R636" s="9"/>
      <c r="S636" s="8"/>
      <c r="T636" s="8"/>
      <c r="U636" s="8"/>
      <c r="V636" s="8"/>
      <c r="W636" s="8"/>
      <c r="X636" s="8"/>
      <c r="Y636" s="8"/>
      <c r="Z636" s="194"/>
      <c r="AA636" s="194"/>
      <c r="AB636" s="194"/>
      <c r="AC636" s="11"/>
      <c r="AD636" s="11"/>
      <c r="AE636" s="11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3"/>
      <c r="AY636" s="13"/>
      <c r="AZ636" s="13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</row>
    <row r="637" spans="1:63" ht="14.25" customHeight="1" x14ac:dyDescent="0.25">
      <c r="A637" s="9"/>
      <c r="B637" s="2"/>
      <c r="C637" s="3"/>
      <c r="D637" s="9"/>
      <c r="E637" s="9"/>
      <c r="F637" s="9"/>
      <c r="G637" s="9"/>
      <c r="H637" s="9"/>
      <c r="I637" s="8"/>
      <c r="J637" s="8"/>
      <c r="K637" s="8"/>
      <c r="L637" s="8"/>
      <c r="M637" s="8"/>
      <c r="N637" s="8"/>
      <c r="O637" s="8"/>
      <c r="P637" s="9"/>
      <c r="Q637" s="9"/>
      <c r="R637" s="9"/>
      <c r="S637" s="8"/>
      <c r="T637" s="8"/>
      <c r="U637" s="8"/>
      <c r="V637" s="8"/>
      <c r="W637" s="8"/>
      <c r="X637" s="8"/>
      <c r="Y637" s="8"/>
      <c r="Z637" s="194"/>
      <c r="AA637" s="194"/>
      <c r="AB637" s="194"/>
      <c r="AC637" s="11"/>
      <c r="AD637" s="11"/>
      <c r="AE637" s="11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3"/>
      <c r="AY637" s="13"/>
      <c r="AZ637" s="13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</row>
    <row r="638" spans="1:63" ht="14.25" customHeight="1" x14ac:dyDescent="0.25">
      <c r="A638" s="9"/>
      <c r="B638" s="2"/>
      <c r="C638" s="3"/>
      <c r="D638" s="9"/>
      <c r="E638" s="9"/>
      <c r="F638" s="9"/>
      <c r="G638" s="9"/>
      <c r="H638" s="9"/>
      <c r="I638" s="8"/>
      <c r="J638" s="8"/>
      <c r="K638" s="8"/>
      <c r="L638" s="8"/>
      <c r="M638" s="8"/>
      <c r="N638" s="8"/>
      <c r="O638" s="8"/>
      <c r="P638" s="9"/>
      <c r="Q638" s="9"/>
      <c r="R638" s="9"/>
      <c r="S638" s="8"/>
      <c r="T638" s="8"/>
      <c r="U638" s="8"/>
      <c r="V638" s="8"/>
      <c r="W638" s="8"/>
      <c r="X638" s="8"/>
      <c r="Y638" s="8"/>
      <c r="Z638" s="194"/>
      <c r="AA638" s="194"/>
      <c r="AB638" s="194"/>
      <c r="AC638" s="11"/>
      <c r="AD638" s="11"/>
      <c r="AE638" s="11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3"/>
      <c r="AY638" s="13"/>
      <c r="AZ638" s="13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</row>
    <row r="639" spans="1:63" ht="14.25" customHeight="1" x14ac:dyDescent="0.25">
      <c r="A639" s="9"/>
      <c r="B639" s="2"/>
      <c r="C639" s="3"/>
      <c r="D639" s="9"/>
      <c r="E639" s="9"/>
      <c r="F639" s="9"/>
      <c r="G639" s="9"/>
      <c r="H639" s="9"/>
      <c r="I639" s="8"/>
      <c r="J639" s="8"/>
      <c r="K639" s="8"/>
      <c r="L639" s="8"/>
      <c r="M639" s="8"/>
      <c r="N639" s="8"/>
      <c r="O639" s="8"/>
      <c r="P639" s="9"/>
      <c r="Q639" s="9"/>
      <c r="R639" s="9"/>
      <c r="S639" s="8"/>
      <c r="T639" s="8"/>
      <c r="U639" s="8"/>
      <c r="V639" s="8"/>
      <c r="W639" s="8"/>
      <c r="X639" s="8"/>
      <c r="Y639" s="8"/>
      <c r="Z639" s="194"/>
      <c r="AA639" s="194"/>
      <c r="AB639" s="194"/>
      <c r="AC639" s="11"/>
      <c r="AD639" s="11"/>
      <c r="AE639" s="11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3"/>
      <c r="AY639" s="13"/>
      <c r="AZ639" s="13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</row>
    <row r="640" spans="1:63" ht="14.25" customHeight="1" x14ac:dyDescent="0.25">
      <c r="A640" s="9"/>
      <c r="B640" s="2"/>
      <c r="C640" s="3"/>
      <c r="D640" s="9"/>
      <c r="E640" s="9"/>
      <c r="F640" s="9"/>
      <c r="G640" s="9"/>
      <c r="H640" s="9"/>
      <c r="I640" s="8"/>
      <c r="J640" s="8"/>
      <c r="K640" s="8"/>
      <c r="L640" s="8"/>
      <c r="M640" s="8"/>
      <c r="N640" s="8"/>
      <c r="O640" s="8"/>
      <c r="P640" s="9"/>
      <c r="Q640" s="9"/>
      <c r="R640" s="9"/>
      <c r="S640" s="8"/>
      <c r="T640" s="8"/>
      <c r="U640" s="8"/>
      <c r="V640" s="8"/>
      <c r="W640" s="8"/>
      <c r="X640" s="8"/>
      <c r="Y640" s="8"/>
      <c r="Z640" s="194"/>
      <c r="AA640" s="194"/>
      <c r="AB640" s="194"/>
      <c r="AC640" s="11"/>
      <c r="AD640" s="11"/>
      <c r="AE640" s="11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3"/>
      <c r="AY640" s="13"/>
      <c r="AZ640" s="13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</row>
    <row r="641" spans="1:63" ht="14.25" customHeight="1" x14ac:dyDescent="0.25">
      <c r="A641" s="9"/>
      <c r="B641" s="2"/>
      <c r="C641" s="3"/>
      <c r="D641" s="9"/>
      <c r="E641" s="9"/>
      <c r="F641" s="9"/>
      <c r="G641" s="9"/>
      <c r="H641" s="9"/>
      <c r="I641" s="8"/>
      <c r="J641" s="8"/>
      <c r="K641" s="8"/>
      <c r="L641" s="8"/>
      <c r="M641" s="8"/>
      <c r="N641" s="8"/>
      <c r="O641" s="8"/>
      <c r="P641" s="9"/>
      <c r="Q641" s="9"/>
      <c r="R641" s="9"/>
      <c r="S641" s="8"/>
      <c r="T641" s="8"/>
      <c r="U641" s="8"/>
      <c r="V641" s="8"/>
      <c r="W641" s="8"/>
      <c r="X641" s="8"/>
      <c r="Y641" s="8"/>
      <c r="Z641" s="194"/>
      <c r="AA641" s="194"/>
      <c r="AB641" s="194"/>
      <c r="AC641" s="11"/>
      <c r="AD641" s="11"/>
      <c r="AE641" s="11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3"/>
      <c r="AY641" s="13"/>
      <c r="AZ641" s="13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</row>
    <row r="642" spans="1:63" ht="14.25" customHeight="1" x14ac:dyDescent="0.25">
      <c r="A642" s="9"/>
      <c r="B642" s="2"/>
      <c r="C642" s="3"/>
      <c r="D642" s="9"/>
      <c r="E642" s="9"/>
      <c r="F642" s="9"/>
      <c r="G642" s="9"/>
      <c r="H642" s="9"/>
      <c r="I642" s="8"/>
      <c r="J642" s="8"/>
      <c r="K642" s="8"/>
      <c r="L642" s="8"/>
      <c r="M642" s="8"/>
      <c r="N642" s="8"/>
      <c r="O642" s="8"/>
      <c r="P642" s="9"/>
      <c r="Q642" s="9"/>
      <c r="R642" s="9"/>
      <c r="S642" s="8"/>
      <c r="T642" s="8"/>
      <c r="U642" s="8"/>
      <c r="V642" s="8"/>
      <c r="W642" s="8"/>
      <c r="X642" s="8"/>
      <c r="Y642" s="8"/>
      <c r="Z642" s="194"/>
      <c r="AA642" s="194"/>
      <c r="AB642" s="194"/>
      <c r="AC642" s="11"/>
      <c r="AD642" s="11"/>
      <c r="AE642" s="11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3"/>
      <c r="AY642" s="13"/>
      <c r="AZ642" s="13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</row>
    <row r="643" spans="1:63" ht="14.25" customHeight="1" x14ac:dyDescent="0.25">
      <c r="A643" s="9"/>
      <c r="B643" s="2"/>
      <c r="C643" s="3"/>
      <c r="D643" s="9"/>
      <c r="E643" s="9"/>
      <c r="F643" s="9"/>
      <c r="G643" s="9"/>
      <c r="H643" s="9"/>
      <c r="I643" s="8"/>
      <c r="J643" s="8"/>
      <c r="K643" s="8"/>
      <c r="L643" s="8"/>
      <c r="M643" s="8"/>
      <c r="N643" s="8"/>
      <c r="O643" s="8"/>
      <c r="P643" s="9"/>
      <c r="Q643" s="9"/>
      <c r="R643" s="9"/>
      <c r="S643" s="8"/>
      <c r="T643" s="8"/>
      <c r="U643" s="8"/>
      <c r="V643" s="8"/>
      <c r="W643" s="8"/>
      <c r="X643" s="8"/>
      <c r="Y643" s="8"/>
      <c r="Z643" s="194"/>
      <c r="AA643" s="194"/>
      <c r="AB643" s="194"/>
      <c r="AC643" s="11"/>
      <c r="AD643" s="11"/>
      <c r="AE643" s="11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3"/>
      <c r="AY643" s="13"/>
      <c r="AZ643" s="13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</row>
    <row r="644" spans="1:63" ht="14.25" customHeight="1" x14ac:dyDescent="0.25">
      <c r="A644" s="9"/>
      <c r="B644" s="2"/>
      <c r="C644" s="3"/>
      <c r="D644" s="9"/>
      <c r="E644" s="9"/>
      <c r="F644" s="9"/>
      <c r="G644" s="9"/>
      <c r="H644" s="9"/>
      <c r="I644" s="8"/>
      <c r="J644" s="8"/>
      <c r="K644" s="8"/>
      <c r="L644" s="8"/>
      <c r="M644" s="8"/>
      <c r="N644" s="8"/>
      <c r="O644" s="8"/>
      <c r="P644" s="9"/>
      <c r="Q644" s="9"/>
      <c r="R644" s="9"/>
      <c r="S644" s="8"/>
      <c r="T644" s="8"/>
      <c r="U644" s="8"/>
      <c r="V644" s="8"/>
      <c r="W644" s="8"/>
      <c r="X644" s="8"/>
      <c r="Y644" s="8"/>
      <c r="Z644" s="194"/>
      <c r="AA644" s="194"/>
      <c r="AB644" s="194"/>
      <c r="AC644" s="11"/>
      <c r="AD644" s="11"/>
      <c r="AE644" s="11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3"/>
      <c r="AY644" s="13"/>
      <c r="AZ644" s="13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</row>
    <row r="645" spans="1:63" ht="14.25" customHeight="1" x14ac:dyDescent="0.25">
      <c r="A645" s="9"/>
      <c r="B645" s="2"/>
      <c r="C645" s="3"/>
      <c r="D645" s="9"/>
      <c r="E645" s="9"/>
      <c r="F645" s="9"/>
      <c r="G645" s="9"/>
      <c r="H645" s="9"/>
      <c r="I645" s="8"/>
      <c r="J645" s="8"/>
      <c r="K645" s="8"/>
      <c r="L645" s="8"/>
      <c r="M645" s="8"/>
      <c r="N645" s="8"/>
      <c r="O645" s="8"/>
      <c r="P645" s="9"/>
      <c r="Q645" s="9"/>
      <c r="R645" s="9"/>
      <c r="S645" s="8"/>
      <c r="T645" s="8"/>
      <c r="U645" s="8"/>
      <c r="V645" s="8"/>
      <c r="W645" s="8"/>
      <c r="X645" s="8"/>
      <c r="Y645" s="8"/>
      <c r="Z645" s="194"/>
      <c r="AA645" s="194"/>
      <c r="AB645" s="194"/>
      <c r="AC645" s="11"/>
      <c r="AD645" s="11"/>
      <c r="AE645" s="11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3"/>
      <c r="AY645" s="13"/>
      <c r="AZ645" s="13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</row>
    <row r="646" spans="1:63" ht="14.25" customHeight="1" x14ac:dyDescent="0.25">
      <c r="A646" s="9"/>
      <c r="B646" s="2"/>
      <c r="C646" s="3"/>
      <c r="D646" s="9"/>
      <c r="E646" s="9"/>
      <c r="F646" s="9"/>
      <c r="G646" s="9"/>
      <c r="H646" s="9"/>
      <c r="I646" s="8"/>
      <c r="J646" s="8"/>
      <c r="K646" s="8"/>
      <c r="L646" s="8"/>
      <c r="M646" s="8"/>
      <c r="N646" s="8"/>
      <c r="O646" s="8"/>
      <c r="P646" s="9"/>
      <c r="Q646" s="9"/>
      <c r="R646" s="9"/>
      <c r="S646" s="8"/>
      <c r="T646" s="8"/>
      <c r="U646" s="8"/>
      <c r="V646" s="8"/>
      <c r="W646" s="8"/>
      <c r="X646" s="8"/>
      <c r="Y646" s="8"/>
      <c r="Z646" s="194"/>
      <c r="AA646" s="194"/>
      <c r="AB646" s="194"/>
      <c r="AC646" s="11"/>
      <c r="AD646" s="11"/>
      <c r="AE646" s="11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3"/>
      <c r="AY646" s="13"/>
      <c r="AZ646" s="13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</row>
    <row r="647" spans="1:63" ht="14.25" customHeight="1" x14ac:dyDescent="0.25">
      <c r="A647" s="9"/>
      <c r="B647" s="2"/>
      <c r="C647" s="3"/>
      <c r="D647" s="9"/>
      <c r="E647" s="9"/>
      <c r="F647" s="9"/>
      <c r="G647" s="9"/>
      <c r="H647" s="9"/>
      <c r="I647" s="8"/>
      <c r="J647" s="8"/>
      <c r="K647" s="8"/>
      <c r="L647" s="8"/>
      <c r="M647" s="8"/>
      <c r="N647" s="8"/>
      <c r="O647" s="8"/>
      <c r="P647" s="9"/>
      <c r="Q647" s="9"/>
      <c r="R647" s="9"/>
      <c r="S647" s="8"/>
      <c r="T647" s="8"/>
      <c r="U647" s="8"/>
      <c r="V647" s="8"/>
      <c r="W647" s="8"/>
      <c r="X647" s="8"/>
      <c r="Y647" s="8"/>
      <c r="Z647" s="194"/>
      <c r="AA647" s="194"/>
      <c r="AB647" s="194"/>
      <c r="AC647" s="11"/>
      <c r="AD647" s="11"/>
      <c r="AE647" s="11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3"/>
      <c r="AY647" s="13"/>
      <c r="AZ647" s="13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</row>
    <row r="648" spans="1:63" ht="14.25" customHeight="1" x14ac:dyDescent="0.25">
      <c r="A648" s="9"/>
      <c r="B648" s="2"/>
      <c r="C648" s="3"/>
      <c r="D648" s="9"/>
      <c r="E648" s="9"/>
      <c r="F648" s="9"/>
      <c r="G648" s="9"/>
      <c r="H648" s="9"/>
      <c r="I648" s="8"/>
      <c r="J648" s="8"/>
      <c r="K648" s="8"/>
      <c r="L648" s="8"/>
      <c r="M648" s="8"/>
      <c r="N648" s="8"/>
      <c r="O648" s="8"/>
      <c r="P648" s="9"/>
      <c r="Q648" s="9"/>
      <c r="R648" s="9"/>
      <c r="S648" s="8"/>
      <c r="T648" s="8"/>
      <c r="U648" s="8"/>
      <c r="V648" s="8"/>
      <c r="W648" s="8"/>
      <c r="X648" s="8"/>
      <c r="Y648" s="8"/>
      <c r="Z648" s="194"/>
      <c r="AA648" s="194"/>
      <c r="AB648" s="194"/>
      <c r="AC648" s="11"/>
      <c r="AD648" s="11"/>
      <c r="AE648" s="11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3"/>
      <c r="AY648" s="13"/>
      <c r="AZ648" s="13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</row>
    <row r="649" spans="1:63" ht="14.25" customHeight="1" x14ac:dyDescent="0.25">
      <c r="A649" s="9"/>
      <c r="B649" s="2"/>
      <c r="C649" s="3"/>
      <c r="D649" s="9"/>
      <c r="E649" s="9"/>
      <c r="F649" s="9"/>
      <c r="G649" s="9"/>
      <c r="H649" s="9"/>
      <c r="I649" s="8"/>
      <c r="J649" s="8"/>
      <c r="K649" s="8"/>
      <c r="L649" s="8"/>
      <c r="M649" s="8"/>
      <c r="N649" s="8"/>
      <c r="O649" s="8"/>
      <c r="P649" s="9"/>
      <c r="Q649" s="9"/>
      <c r="R649" s="9"/>
      <c r="S649" s="8"/>
      <c r="T649" s="8"/>
      <c r="U649" s="8"/>
      <c r="V649" s="8"/>
      <c r="W649" s="8"/>
      <c r="X649" s="8"/>
      <c r="Y649" s="8"/>
      <c r="Z649" s="194"/>
      <c r="AA649" s="194"/>
      <c r="AB649" s="194"/>
      <c r="AC649" s="11"/>
      <c r="AD649" s="11"/>
      <c r="AE649" s="11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3"/>
      <c r="AY649" s="13"/>
      <c r="AZ649" s="13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</row>
    <row r="650" spans="1:63" ht="14.25" customHeight="1" x14ac:dyDescent="0.25">
      <c r="A650" s="9"/>
      <c r="B650" s="2"/>
      <c r="C650" s="3"/>
      <c r="D650" s="9"/>
      <c r="E650" s="9"/>
      <c r="F650" s="9"/>
      <c r="G650" s="9"/>
      <c r="H650" s="9"/>
      <c r="I650" s="8"/>
      <c r="J650" s="8"/>
      <c r="K650" s="8"/>
      <c r="L650" s="8"/>
      <c r="M650" s="8"/>
      <c r="N650" s="8"/>
      <c r="O650" s="8"/>
      <c r="P650" s="9"/>
      <c r="Q650" s="9"/>
      <c r="R650" s="9"/>
      <c r="S650" s="8"/>
      <c r="T650" s="8"/>
      <c r="U650" s="8"/>
      <c r="V650" s="8"/>
      <c r="W650" s="8"/>
      <c r="X650" s="8"/>
      <c r="Y650" s="8"/>
      <c r="Z650" s="194"/>
      <c r="AA650" s="194"/>
      <c r="AB650" s="194"/>
      <c r="AC650" s="11"/>
      <c r="AD650" s="11"/>
      <c r="AE650" s="11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3"/>
      <c r="AY650" s="13"/>
      <c r="AZ650" s="13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</row>
    <row r="651" spans="1:63" ht="14.25" customHeight="1" x14ac:dyDescent="0.25">
      <c r="A651" s="9"/>
      <c r="B651" s="2"/>
      <c r="C651" s="3"/>
      <c r="D651" s="9"/>
      <c r="E651" s="9"/>
      <c r="F651" s="9"/>
      <c r="G651" s="9"/>
      <c r="H651" s="9"/>
      <c r="I651" s="8"/>
      <c r="J651" s="8"/>
      <c r="K651" s="8"/>
      <c r="L651" s="8"/>
      <c r="M651" s="8"/>
      <c r="N651" s="8"/>
      <c r="O651" s="8"/>
      <c r="P651" s="9"/>
      <c r="Q651" s="9"/>
      <c r="R651" s="9"/>
      <c r="S651" s="8"/>
      <c r="T651" s="8"/>
      <c r="U651" s="8"/>
      <c r="V651" s="8"/>
      <c r="W651" s="8"/>
      <c r="X651" s="8"/>
      <c r="Y651" s="8"/>
      <c r="Z651" s="194"/>
      <c r="AA651" s="194"/>
      <c r="AB651" s="194"/>
      <c r="AC651" s="11"/>
      <c r="AD651" s="11"/>
      <c r="AE651" s="11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3"/>
      <c r="AY651" s="13"/>
      <c r="AZ651" s="13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</row>
    <row r="652" spans="1:63" ht="14.25" customHeight="1" x14ac:dyDescent="0.25">
      <c r="A652" s="9"/>
      <c r="B652" s="2"/>
      <c r="C652" s="3"/>
      <c r="D652" s="9"/>
      <c r="E652" s="9"/>
      <c r="F652" s="9"/>
      <c r="G652" s="9"/>
      <c r="H652" s="9"/>
      <c r="I652" s="8"/>
      <c r="J652" s="8"/>
      <c r="K652" s="8"/>
      <c r="L652" s="8"/>
      <c r="M652" s="8"/>
      <c r="N652" s="8"/>
      <c r="O652" s="8"/>
      <c r="P652" s="9"/>
      <c r="Q652" s="9"/>
      <c r="R652" s="9"/>
      <c r="S652" s="8"/>
      <c r="T652" s="8"/>
      <c r="U652" s="8"/>
      <c r="V652" s="8"/>
      <c r="W652" s="8"/>
      <c r="X652" s="8"/>
      <c r="Y652" s="8"/>
      <c r="Z652" s="194"/>
      <c r="AA652" s="194"/>
      <c r="AB652" s="194"/>
      <c r="AC652" s="11"/>
      <c r="AD652" s="11"/>
      <c r="AE652" s="11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3"/>
      <c r="AY652" s="13"/>
      <c r="AZ652" s="13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</row>
    <row r="653" spans="1:63" ht="14.25" customHeight="1" x14ac:dyDescent="0.25">
      <c r="A653" s="9"/>
      <c r="B653" s="2"/>
      <c r="C653" s="3"/>
      <c r="D653" s="9"/>
      <c r="E653" s="9"/>
      <c r="F653" s="9"/>
      <c r="G653" s="9"/>
      <c r="H653" s="9"/>
      <c r="I653" s="8"/>
      <c r="J653" s="8"/>
      <c r="K653" s="8"/>
      <c r="L653" s="8"/>
      <c r="M653" s="8"/>
      <c r="N653" s="8"/>
      <c r="O653" s="8"/>
      <c r="P653" s="9"/>
      <c r="Q653" s="9"/>
      <c r="R653" s="9"/>
      <c r="S653" s="8"/>
      <c r="T653" s="8"/>
      <c r="U653" s="8"/>
      <c r="V653" s="8"/>
      <c r="W653" s="8"/>
      <c r="X653" s="8"/>
      <c r="Y653" s="8"/>
      <c r="Z653" s="194"/>
      <c r="AA653" s="194"/>
      <c r="AB653" s="194"/>
      <c r="AC653" s="11"/>
      <c r="AD653" s="11"/>
      <c r="AE653" s="11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3"/>
      <c r="AY653" s="13"/>
      <c r="AZ653" s="13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</row>
    <row r="654" spans="1:63" ht="14.25" customHeight="1" x14ac:dyDescent="0.25">
      <c r="A654" s="9"/>
      <c r="B654" s="2"/>
      <c r="C654" s="3"/>
      <c r="D654" s="9"/>
      <c r="E654" s="9"/>
      <c r="F654" s="9"/>
      <c r="G654" s="9"/>
      <c r="H654" s="9"/>
      <c r="I654" s="8"/>
      <c r="J654" s="8"/>
      <c r="K654" s="8"/>
      <c r="L654" s="8"/>
      <c r="M654" s="8"/>
      <c r="N654" s="8"/>
      <c r="O654" s="8"/>
      <c r="P654" s="9"/>
      <c r="Q654" s="9"/>
      <c r="R654" s="9"/>
      <c r="S654" s="8"/>
      <c r="T654" s="8"/>
      <c r="U654" s="8"/>
      <c r="V654" s="8"/>
      <c r="W654" s="8"/>
      <c r="X654" s="8"/>
      <c r="Y654" s="8"/>
      <c r="Z654" s="194"/>
      <c r="AA654" s="194"/>
      <c r="AB654" s="194"/>
      <c r="AC654" s="11"/>
      <c r="AD654" s="11"/>
      <c r="AE654" s="11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3"/>
      <c r="AY654" s="13"/>
      <c r="AZ654" s="13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</row>
    <row r="655" spans="1:63" ht="14.25" customHeight="1" x14ac:dyDescent="0.25">
      <c r="A655" s="9"/>
      <c r="B655" s="2"/>
      <c r="C655" s="3"/>
      <c r="D655" s="9"/>
      <c r="E655" s="9"/>
      <c r="F655" s="9"/>
      <c r="G655" s="9"/>
      <c r="H655" s="9"/>
      <c r="I655" s="8"/>
      <c r="J655" s="8"/>
      <c r="K655" s="8"/>
      <c r="L655" s="8"/>
      <c r="M655" s="8"/>
      <c r="N655" s="8"/>
      <c r="O655" s="8"/>
      <c r="P655" s="9"/>
      <c r="Q655" s="9"/>
      <c r="R655" s="9"/>
      <c r="S655" s="8"/>
      <c r="T655" s="8"/>
      <c r="U655" s="8"/>
      <c r="V655" s="8"/>
      <c r="W655" s="8"/>
      <c r="X655" s="8"/>
      <c r="Y655" s="8"/>
      <c r="Z655" s="194"/>
      <c r="AA655" s="194"/>
      <c r="AB655" s="194"/>
      <c r="AC655" s="11"/>
      <c r="AD655" s="11"/>
      <c r="AE655" s="11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3"/>
      <c r="AY655" s="13"/>
      <c r="AZ655" s="13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</row>
    <row r="656" spans="1:63" ht="14.25" customHeight="1" x14ac:dyDescent="0.25">
      <c r="A656" s="9"/>
      <c r="B656" s="2"/>
      <c r="C656" s="3"/>
      <c r="D656" s="9"/>
      <c r="E656" s="9"/>
      <c r="F656" s="9"/>
      <c r="G656" s="9"/>
      <c r="H656" s="9"/>
      <c r="I656" s="8"/>
      <c r="J656" s="8"/>
      <c r="K656" s="8"/>
      <c r="L656" s="8"/>
      <c r="M656" s="8"/>
      <c r="N656" s="8"/>
      <c r="O656" s="8"/>
      <c r="P656" s="9"/>
      <c r="Q656" s="9"/>
      <c r="R656" s="9"/>
      <c r="S656" s="8"/>
      <c r="T656" s="8"/>
      <c r="U656" s="8"/>
      <c r="V656" s="8"/>
      <c r="W656" s="8"/>
      <c r="X656" s="8"/>
      <c r="Y656" s="8"/>
      <c r="Z656" s="194"/>
      <c r="AA656" s="194"/>
      <c r="AB656" s="194"/>
      <c r="AC656" s="11"/>
      <c r="AD656" s="11"/>
      <c r="AE656" s="11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3"/>
      <c r="AY656" s="13"/>
      <c r="AZ656" s="13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</row>
    <row r="657" spans="1:63" ht="14.25" customHeight="1" x14ac:dyDescent="0.25">
      <c r="A657" s="9"/>
      <c r="B657" s="2"/>
      <c r="C657" s="3"/>
      <c r="D657" s="9"/>
      <c r="E657" s="9"/>
      <c r="F657" s="9"/>
      <c r="G657" s="9"/>
      <c r="H657" s="9"/>
      <c r="I657" s="8"/>
      <c r="J657" s="8"/>
      <c r="K657" s="8"/>
      <c r="L657" s="8"/>
      <c r="M657" s="8"/>
      <c r="N657" s="8"/>
      <c r="O657" s="8"/>
      <c r="P657" s="9"/>
      <c r="Q657" s="9"/>
      <c r="R657" s="9"/>
      <c r="S657" s="8"/>
      <c r="T657" s="8"/>
      <c r="U657" s="8"/>
      <c r="V657" s="8"/>
      <c r="W657" s="8"/>
      <c r="X657" s="8"/>
      <c r="Y657" s="8"/>
      <c r="Z657" s="194"/>
      <c r="AA657" s="194"/>
      <c r="AB657" s="194"/>
      <c r="AC657" s="11"/>
      <c r="AD657" s="11"/>
      <c r="AE657" s="11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3"/>
      <c r="AY657" s="13"/>
      <c r="AZ657" s="13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</row>
    <row r="658" spans="1:63" ht="14.25" customHeight="1" x14ac:dyDescent="0.25">
      <c r="A658" s="9"/>
      <c r="B658" s="2"/>
      <c r="C658" s="3"/>
      <c r="D658" s="9"/>
      <c r="E658" s="9"/>
      <c r="F658" s="9"/>
      <c r="G658" s="9"/>
      <c r="H658" s="9"/>
      <c r="I658" s="8"/>
      <c r="J658" s="8"/>
      <c r="K658" s="8"/>
      <c r="L658" s="8"/>
      <c r="M658" s="8"/>
      <c r="N658" s="8"/>
      <c r="O658" s="8"/>
      <c r="P658" s="9"/>
      <c r="Q658" s="9"/>
      <c r="R658" s="9"/>
      <c r="S658" s="8"/>
      <c r="T658" s="8"/>
      <c r="U658" s="8"/>
      <c r="V658" s="8"/>
      <c r="W658" s="8"/>
      <c r="X658" s="8"/>
      <c r="Y658" s="8"/>
      <c r="Z658" s="194"/>
      <c r="AA658" s="194"/>
      <c r="AB658" s="194"/>
      <c r="AC658" s="11"/>
      <c r="AD658" s="11"/>
      <c r="AE658" s="11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3"/>
      <c r="AY658" s="13"/>
      <c r="AZ658" s="13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</row>
    <row r="659" spans="1:63" ht="14.25" customHeight="1" x14ac:dyDescent="0.25">
      <c r="A659" s="9"/>
      <c r="B659" s="2"/>
      <c r="C659" s="3"/>
      <c r="D659" s="9"/>
      <c r="E659" s="9"/>
      <c r="F659" s="9"/>
      <c r="G659" s="9"/>
      <c r="H659" s="9"/>
      <c r="I659" s="8"/>
      <c r="J659" s="8"/>
      <c r="K659" s="8"/>
      <c r="L659" s="8"/>
      <c r="M659" s="8"/>
      <c r="N659" s="8"/>
      <c r="O659" s="8"/>
      <c r="P659" s="9"/>
      <c r="Q659" s="9"/>
      <c r="R659" s="9"/>
      <c r="S659" s="8"/>
      <c r="T659" s="8"/>
      <c r="U659" s="8"/>
      <c r="V659" s="8"/>
      <c r="W659" s="8"/>
      <c r="X659" s="8"/>
      <c r="Y659" s="8"/>
      <c r="Z659" s="194"/>
      <c r="AA659" s="194"/>
      <c r="AB659" s="194"/>
      <c r="AC659" s="11"/>
      <c r="AD659" s="11"/>
      <c r="AE659" s="11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3"/>
      <c r="AY659" s="13"/>
      <c r="AZ659" s="13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</row>
    <row r="660" spans="1:63" ht="14.25" customHeight="1" x14ac:dyDescent="0.25">
      <c r="A660" s="9"/>
      <c r="B660" s="2"/>
      <c r="C660" s="3"/>
      <c r="D660" s="9"/>
      <c r="E660" s="9"/>
      <c r="F660" s="9"/>
      <c r="G660" s="9"/>
      <c r="H660" s="9"/>
      <c r="I660" s="8"/>
      <c r="J660" s="8"/>
      <c r="K660" s="8"/>
      <c r="L660" s="8"/>
      <c r="M660" s="8"/>
      <c r="N660" s="8"/>
      <c r="O660" s="8"/>
      <c r="P660" s="9"/>
      <c r="Q660" s="9"/>
      <c r="R660" s="9"/>
      <c r="S660" s="8"/>
      <c r="T660" s="8"/>
      <c r="U660" s="8"/>
      <c r="V660" s="8"/>
      <c r="W660" s="8"/>
      <c r="X660" s="8"/>
      <c r="Y660" s="8"/>
      <c r="Z660" s="194"/>
      <c r="AA660" s="194"/>
      <c r="AB660" s="194"/>
      <c r="AC660" s="11"/>
      <c r="AD660" s="11"/>
      <c r="AE660" s="11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3"/>
      <c r="AY660" s="13"/>
      <c r="AZ660" s="13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</row>
    <row r="661" spans="1:63" ht="14.25" customHeight="1" x14ac:dyDescent="0.25">
      <c r="A661" s="9"/>
      <c r="B661" s="2"/>
      <c r="C661" s="3"/>
      <c r="D661" s="9"/>
      <c r="E661" s="9"/>
      <c r="F661" s="9"/>
      <c r="G661" s="9"/>
      <c r="H661" s="9"/>
      <c r="I661" s="8"/>
      <c r="J661" s="8"/>
      <c r="K661" s="8"/>
      <c r="L661" s="8"/>
      <c r="M661" s="8"/>
      <c r="N661" s="8"/>
      <c r="O661" s="8"/>
      <c r="P661" s="9"/>
      <c r="Q661" s="9"/>
      <c r="R661" s="9"/>
      <c r="S661" s="8"/>
      <c r="T661" s="8"/>
      <c r="U661" s="8"/>
      <c r="V661" s="8"/>
      <c r="W661" s="8"/>
      <c r="X661" s="8"/>
      <c r="Y661" s="8"/>
      <c r="Z661" s="194"/>
      <c r="AA661" s="194"/>
      <c r="AB661" s="194"/>
      <c r="AC661" s="11"/>
      <c r="AD661" s="11"/>
      <c r="AE661" s="11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3"/>
      <c r="AY661" s="13"/>
      <c r="AZ661" s="13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</row>
    <row r="662" spans="1:63" ht="14.25" customHeight="1" x14ac:dyDescent="0.25">
      <c r="A662" s="9"/>
      <c r="B662" s="2"/>
      <c r="C662" s="3"/>
      <c r="D662" s="9"/>
      <c r="E662" s="9"/>
      <c r="F662" s="9"/>
      <c r="G662" s="9"/>
      <c r="H662" s="9"/>
      <c r="I662" s="8"/>
      <c r="J662" s="8"/>
      <c r="K662" s="8"/>
      <c r="L662" s="8"/>
      <c r="M662" s="8"/>
      <c r="N662" s="8"/>
      <c r="O662" s="8"/>
      <c r="P662" s="9"/>
      <c r="Q662" s="9"/>
      <c r="R662" s="9"/>
      <c r="S662" s="8"/>
      <c r="T662" s="8"/>
      <c r="U662" s="8"/>
      <c r="V662" s="8"/>
      <c r="W662" s="8"/>
      <c r="X662" s="8"/>
      <c r="Y662" s="8"/>
      <c r="Z662" s="194"/>
      <c r="AA662" s="194"/>
      <c r="AB662" s="194"/>
      <c r="AC662" s="11"/>
      <c r="AD662" s="11"/>
      <c r="AE662" s="11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3"/>
      <c r="AY662" s="13"/>
      <c r="AZ662" s="13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</row>
    <row r="663" spans="1:63" ht="14.25" customHeight="1" x14ac:dyDescent="0.25">
      <c r="A663" s="9"/>
      <c r="B663" s="2"/>
      <c r="C663" s="3"/>
      <c r="D663" s="9"/>
      <c r="E663" s="9"/>
      <c r="F663" s="9"/>
      <c r="G663" s="9"/>
      <c r="H663" s="9"/>
      <c r="I663" s="8"/>
      <c r="J663" s="8"/>
      <c r="K663" s="8"/>
      <c r="L663" s="8"/>
      <c r="M663" s="8"/>
      <c r="N663" s="8"/>
      <c r="O663" s="8"/>
      <c r="P663" s="9"/>
      <c r="Q663" s="9"/>
      <c r="R663" s="9"/>
      <c r="S663" s="8"/>
      <c r="T663" s="8"/>
      <c r="U663" s="8"/>
      <c r="V663" s="8"/>
      <c r="W663" s="8"/>
      <c r="X663" s="8"/>
      <c r="Y663" s="8"/>
      <c r="Z663" s="194"/>
      <c r="AA663" s="194"/>
      <c r="AB663" s="194"/>
      <c r="AC663" s="11"/>
      <c r="AD663" s="11"/>
      <c r="AE663" s="11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3"/>
      <c r="AY663" s="13"/>
      <c r="AZ663" s="13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</row>
    <row r="664" spans="1:63" ht="14.25" customHeight="1" x14ac:dyDescent="0.25">
      <c r="A664" s="9"/>
      <c r="B664" s="2"/>
      <c r="C664" s="3"/>
      <c r="D664" s="9"/>
      <c r="E664" s="9"/>
      <c r="F664" s="9"/>
      <c r="G664" s="9"/>
      <c r="H664" s="9"/>
      <c r="I664" s="8"/>
      <c r="J664" s="8"/>
      <c r="K664" s="8"/>
      <c r="L664" s="8"/>
      <c r="M664" s="8"/>
      <c r="N664" s="8"/>
      <c r="O664" s="8"/>
      <c r="P664" s="9"/>
      <c r="Q664" s="9"/>
      <c r="R664" s="9"/>
      <c r="S664" s="8"/>
      <c r="T664" s="8"/>
      <c r="U664" s="8"/>
      <c r="V664" s="8"/>
      <c r="W664" s="8"/>
      <c r="X664" s="8"/>
      <c r="Y664" s="8"/>
      <c r="Z664" s="194"/>
      <c r="AA664" s="194"/>
      <c r="AB664" s="194"/>
      <c r="AC664" s="11"/>
      <c r="AD664" s="11"/>
      <c r="AE664" s="11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3"/>
      <c r="AY664" s="13"/>
      <c r="AZ664" s="13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</row>
    <row r="665" spans="1:63" ht="14.25" customHeight="1" x14ac:dyDescent="0.25">
      <c r="A665" s="9"/>
      <c r="B665" s="2"/>
      <c r="C665" s="3"/>
      <c r="D665" s="9"/>
      <c r="E665" s="9"/>
      <c r="F665" s="9"/>
      <c r="G665" s="9"/>
      <c r="H665" s="9"/>
      <c r="I665" s="8"/>
      <c r="J665" s="8"/>
      <c r="K665" s="8"/>
      <c r="L665" s="8"/>
      <c r="M665" s="8"/>
      <c r="N665" s="8"/>
      <c r="O665" s="8"/>
      <c r="P665" s="9"/>
      <c r="Q665" s="9"/>
      <c r="R665" s="9"/>
      <c r="S665" s="8"/>
      <c r="T665" s="8"/>
      <c r="U665" s="8"/>
      <c r="V665" s="8"/>
      <c r="W665" s="8"/>
      <c r="X665" s="8"/>
      <c r="Y665" s="8"/>
      <c r="Z665" s="194"/>
      <c r="AA665" s="194"/>
      <c r="AB665" s="194"/>
      <c r="AC665" s="11"/>
      <c r="AD665" s="11"/>
      <c r="AE665" s="11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3"/>
      <c r="AY665" s="13"/>
      <c r="AZ665" s="13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</row>
    <row r="666" spans="1:63" ht="14.25" customHeight="1" x14ac:dyDescent="0.25">
      <c r="A666" s="9"/>
      <c r="B666" s="2"/>
      <c r="C666" s="3"/>
      <c r="D666" s="9"/>
      <c r="E666" s="9"/>
      <c r="F666" s="9"/>
      <c r="G666" s="9"/>
      <c r="H666" s="9"/>
      <c r="I666" s="8"/>
      <c r="J666" s="8"/>
      <c r="K666" s="8"/>
      <c r="L666" s="8"/>
      <c r="M666" s="8"/>
      <c r="N666" s="8"/>
      <c r="O666" s="8"/>
      <c r="P666" s="9"/>
      <c r="Q666" s="9"/>
      <c r="R666" s="9"/>
      <c r="S666" s="8"/>
      <c r="T666" s="8"/>
      <c r="U666" s="8"/>
      <c r="V666" s="8"/>
      <c r="W666" s="8"/>
      <c r="X666" s="8"/>
      <c r="Y666" s="8"/>
      <c r="Z666" s="194"/>
      <c r="AA666" s="194"/>
      <c r="AB666" s="194"/>
      <c r="AC666" s="11"/>
      <c r="AD666" s="11"/>
      <c r="AE666" s="11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3"/>
      <c r="AY666" s="13"/>
      <c r="AZ666" s="13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</row>
    <row r="667" spans="1:63" ht="14.25" customHeight="1" x14ac:dyDescent="0.25">
      <c r="A667" s="9"/>
      <c r="B667" s="2"/>
      <c r="C667" s="3"/>
      <c r="D667" s="9"/>
      <c r="E667" s="9"/>
      <c r="F667" s="9"/>
      <c r="G667" s="9"/>
      <c r="H667" s="9"/>
      <c r="I667" s="8"/>
      <c r="J667" s="8"/>
      <c r="K667" s="8"/>
      <c r="L667" s="8"/>
      <c r="M667" s="8"/>
      <c r="N667" s="8"/>
      <c r="O667" s="8"/>
      <c r="P667" s="9"/>
      <c r="Q667" s="9"/>
      <c r="R667" s="9"/>
      <c r="S667" s="8"/>
      <c r="T667" s="8"/>
      <c r="U667" s="8"/>
      <c r="V667" s="8"/>
      <c r="W667" s="8"/>
      <c r="X667" s="8"/>
      <c r="Y667" s="8"/>
      <c r="Z667" s="194"/>
      <c r="AA667" s="194"/>
      <c r="AB667" s="194"/>
      <c r="AC667" s="11"/>
      <c r="AD667" s="11"/>
      <c r="AE667" s="11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3"/>
      <c r="AY667" s="13"/>
      <c r="AZ667" s="13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</row>
    <row r="668" spans="1:63" ht="14.25" customHeight="1" x14ac:dyDescent="0.25">
      <c r="A668" s="9"/>
      <c r="B668" s="2"/>
      <c r="C668" s="3"/>
      <c r="D668" s="9"/>
      <c r="E668" s="9"/>
      <c r="F668" s="9"/>
      <c r="G668" s="9"/>
      <c r="H668" s="9"/>
      <c r="I668" s="8"/>
      <c r="J668" s="8"/>
      <c r="K668" s="8"/>
      <c r="L668" s="8"/>
      <c r="M668" s="8"/>
      <c r="N668" s="8"/>
      <c r="O668" s="8"/>
      <c r="P668" s="9"/>
      <c r="Q668" s="9"/>
      <c r="R668" s="9"/>
      <c r="S668" s="8"/>
      <c r="T668" s="8"/>
      <c r="U668" s="8"/>
      <c r="V668" s="8"/>
      <c r="W668" s="8"/>
      <c r="X668" s="8"/>
      <c r="Y668" s="8"/>
      <c r="Z668" s="194"/>
      <c r="AA668" s="194"/>
      <c r="AB668" s="194"/>
      <c r="AC668" s="11"/>
      <c r="AD668" s="11"/>
      <c r="AE668" s="11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3"/>
      <c r="AY668" s="13"/>
      <c r="AZ668" s="13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</row>
    <row r="669" spans="1:63" ht="14.25" customHeight="1" x14ac:dyDescent="0.25">
      <c r="A669" s="9"/>
      <c r="B669" s="2"/>
      <c r="C669" s="3"/>
      <c r="D669" s="9"/>
      <c r="E669" s="9"/>
      <c r="F669" s="9"/>
      <c r="G669" s="9"/>
      <c r="H669" s="9"/>
      <c r="I669" s="8"/>
      <c r="J669" s="8"/>
      <c r="K669" s="8"/>
      <c r="L669" s="8"/>
      <c r="M669" s="8"/>
      <c r="N669" s="8"/>
      <c r="O669" s="8"/>
      <c r="P669" s="9"/>
      <c r="Q669" s="9"/>
      <c r="R669" s="9"/>
      <c r="S669" s="8"/>
      <c r="T669" s="8"/>
      <c r="U669" s="8"/>
      <c r="V669" s="8"/>
      <c r="W669" s="8"/>
      <c r="X669" s="8"/>
      <c r="Y669" s="8"/>
      <c r="Z669" s="194"/>
      <c r="AA669" s="194"/>
      <c r="AB669" s="194"/>
      <c r="AC669" s="11"/>
      <c r="AD669" s="11"/>
      <c r="AE669" s="11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3"/>
      <c r="AY669" s="13"/>
      <c r="AZ669" s="13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</row>
    <row r="670" spans="1:63" ht="14.25" customHeight="1" x14ac:dyDescent="0.25">
      <c r="A670" s="9"/>
      <c r="B670" s="2"/>
      <c r="C670" s="3"/>
      <c r="D670" s="9"/>
      <c r="E670" s="9"/>
      <c r="F670" s="9"/>
      <c r="G670" s="9"/>
      <c r="H670" s="9"/>
      <c r="I670" s="8"/>
      <c r="J670" s="8"/>
      <c r="K670" s="8"/>
      <c r="L670" s="8"/>
      <c r="M670" s="8"/>
      <c r="N670" s="8"/>
      <c r="O670" s="8"/>
      <c r="P670" s="9"/>
      <c r="Q670" s="9"/>
      <c r="R670" s="9"/>
      <c r="S670" s="8"/>
      <c r="T670" s="8"/>
      <c r="U670" s="8"/>
      <c r="V670" s="8"/>
      <c r="W670" s="8"/>
      <c r="X670" s="8"/>
      <c r="Y670" s="8"/>
      <c r="Z670" s="194"/>
      <c r="AA670" s="194"/>
      <c r="AB670" s="194"/>
      <c r="AC670" s="11"/>
      <c r="AD670" s="11"/>
      <c r="AE670" s="11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3"/>
      <c r="AY670" s="13"/>
      <c r="AZ670" s="13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</row>
    <row r="671" spans="1:63" ht="14.25" customHeight="1" x14ac:dyDescent="0.25">
      <c r="A671" s="9"/>
      <c r="B671" s="2"/>
      <c r="C671" s="3"/>
      <c r="D671" s="9"/>
      <c r="E671" s="9"/>
      <c r="F671" s="9"/>
      <c r="G671" s="9"/>
      <c r="H671" s="9"/>
      <c r="I671" s="8"/>
      <c r="J671" s="8"/>
      <c r="K671" s="8"/>
      <c r="L671" s="8"/>
      <c r="M671" s="8"/>
      <c r="N671" s="8"/>
      <c r="O671" s="8"/>
      <c r="P671" s="9"/>
      <c r="Q671" s="9"/>
      <c r="R671" s="9"/>
      <c r="S671" s="8"/>
      <c r="T671" s="8"/>
      <c r="U671" s="8"/>
      <c r="V671" s="8"/>
      <c r="W671" s="8"/>
      <c r="X671" s="8"/>
      <c r="Y671" s="8"/>
      <c r="Z671" s="194"/>
      <c r="AA671" s="194"/>
      <c r="AB671" s="194"/>
      <c r="AC671" s="11"/>
      <c r="AD671" s="11"/>
      <c r="AE671" s="11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3"/>
      <c r="AY671" s="13"/>
      <c r="AZ671" s="13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</row>
    <row r="672" spans="1:63" ht="14.25" customHeight="1" x14ac:dyDescent="0.25">
      <c r="A672" s="9"/>
      <c r="B672" s="2"/>
      <c r="C672" s="3"/>
      <c r="D672" s="9"/>
      <c r="E672" s="9"/>
      <c r="F672" s="9"/>
      <c r="G672" s="9"/>
      <c r="H672" s="9"/>
      <c r="I672" s="8"/>
      <c r="J672" s="8"/>
      <c r="K672" s="8"/>
      <c r="L672" s="8"/>
      <c r="M672" s="8"/>
      <c r="N672" s="8"/>
      <c r="O672" s="8"/>
      <c r="P672" s="9"/>
      <c r="Q672" s="9"/>
      <c r="R672" s="9"/>
      <c r="S672" s="8"/>
      <c r="T672" s="8"/>
      <c r="U672" s="8"/>
      <c r="V672" s="8"/>
      <c r="W672" s="8"/>
      <c r="X672" s="8"/>
      <c r="Y672" s="8"/>
      <c r="Z672" s="194"/>
      <c r="AA672" s="194"/>
      <c r="AB672" s="194"/>
      <c r="AC672" s="11"/>
      <c r="AD672" s="11"/>
      <c r="AE672" s="11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3"/>
      <c r="AY672" s="13"/>
      <c r="AZ672" s="13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</row>
    <row r="673" spans="1:63" ht="14.25" customHeight="1" x14ac:dyDescent="0.25">
      <c r="A673" s="9"/>
      <c r="B673" s="2"/>
      <c r="C673" s="3"/>
      <c r="D673" s="9"/>
      <c r="E673" s="9"/>
      <c r="F673" s="9"/>
      <c r="G673" s="9"/>
      <c r="H673" s="9"/>
      <c r="I673" s="8"/>
      <c r="J673" s="8"/>
      <c r="K673" s="8"/>
      <c r="L673" s="8"/>
      <c r="M673" s="8"/>
      <c r="N673" s="8"/>
      <c r="O673" s="8"/>
      <c r="P673" s="9"/>
      <c r="Q673" s="9"/>
      <c r="R673" s="9"/>
      <c r="S673" s="8"/>
      <c r="T673" s="8"/>
      <c r="U673" s="8"/>
      <c r="V673" s="8"/>
      <c r="W673" s="8"/>
      <c r="X673" s="8"/>
      <c r="Y673" s="8"/>
      <c r="Z673" s="194"/>
      <c r="AA673" s="194"/>
      <c r="AB673" s="194"/>
      <c r="AC673" s="11"/>
      <c r="AD673" s="11"/>
      <c r="AE673" s="11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3"/>
      <c r="AY673" s="13"/>
      <c r="AZ673" s="13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</row>
    <row r="674" spans="1:63" ht="14.25" customHeight="1" x14ac:dyDescent="0.25">
      <c r="A674" s="9"/>
      <c r="B674" s="2"/>
      <c r="C674" s="3"/>
      <c r="D674" s="9"/>
      <c r="E674" s="9"/>
      <c r="F674" s="9"/>
      <c r="G674" s="9"/>
      <c r="H674" s="9"/>
      <c r="I674" s="8"/>
      <c r="J674" s="8"/>
      <c r="K674" s="8"/>
      <c r="L674" s="8"/>
      <c r="M674" s="8"/>
      <c r="N674" s="8"/>
      <c r="O674" s="8"/>
      <c r="P674" s="9"/>
      <c r="Q674" s="9"/>
      <c r="R674" s="9"/>
      <c r="S674" s="8"/>
      <c r="T674" s="8"/>
      <c r="U674" s="8"/>
      <c r="V674" s="8"/>
      <c r="W674" s="8"/>
      <c r="X674" s="8"/>
      <c r="Y674" s="8"/>
      <c r="Z674" s="194"/>
      <c r="AA674" s="194"/>
      <c r="AB674" s="194"/>
      <c r="AC674" s="11"/>
      <c r="AD674" s="11"/>
      <c r="AE674" s="11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3"/>
      <c r="AY674" s="13"/>
      <c r="AZ674" s="13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</row>
    <row r="675" spans="1:63" ht="14.25" customHeight="1" x14ac:dyDescent="0.25">
      <c r="A675" s="9"/>
      <c r="B675" s="2"/>
      <c r="C675" s="3"/>
      <c r="D675" s="9"/>
      <c r="E675" s="9"/>
      <c r="F675" s="9"/>
      <c r="G675" s="9"/>
      <c r="H675" s="9"/>
      <c r="I675" s="8"/>
      <c r="J675" s="8"/>
      <c r="K675" s="8"/>
      <c r="L675" s="8"/>
      <c r="M675" s="8"/>
      <c r="N675" s="8"/>
      <c r="O675" s="8"/>
      <c r="P675" s="9"/>
      <c r="Q675" s="9"/>
      <c r="R675" s="9"/>
      <c r="S675" s="8"/>
      <c r="T675" s="8"/>
      <c r="U675" s="8"/>
      <c r="V675" s="8"/>
      <c r="W675" s="8"/>
      <c r="X675" s="8"/>
      <c r="Y675" s="8"/>
      <c r="Z675" s="194"/>
      <c r="AA675" s="194"/>
      <c r="AB675" s="194"/>
      <c r="AC675" s="11"/>
      <c r="AD675" s="11"/>
      <c r="AE675" s="11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3"/>
      <c r="AY675" s="13"/>
      <c r="AZ675" s="13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</row>
    <row r="676" spans="1:63" ht="14.25" customHeight="1" x14ac:dyDescent="0.25">
      <c r="A676" s="9"/>
      <c r="B676" s="2"/>
      <c r="C676" s="3"/>
      <c r="D676" s="9"/>
      <c r="E676" s="9"/>
      <c r="F676" s="9"/>
      <c r="G676" s="9"/>
      <c r="H676" s="9"/>
      <c r="I676" s="8"/>
      <c r="J676" s="8"/>
      <c r="K676" s="8"/>
      <c r="L676" s="8"/>
      <c r="M676" s="8"/>
      <c r="N676" s="8"/>
      <c r="O676" s="8"/>
      <c r="P676" s="9"/>
      <c r="Q676" s="9"/>
      <c r="R676" s="9"/>
      <c r="S676" s="8"/>
      <c r="T676" s="8"/>
      <c r="U676" s="8"/>
      <c r="V676" s="8"/>
      <c r="W676" s="8"/>
      <c r="X676" s="8"/>
      <c r="Y676" s="8"/>
      <c r="Z676" s="194"/>
      <c r="AA676" s="194"/>
      <c r="AB676" s="194"/>
      <c r="AC676" s="11"/>
      <c r="AD676" s="11"/>
      <c r="AE676" s="11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3"/>
      <c r="AY676" s="13"/>
      <c r="AZ676" s="13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</row>
    <row r="677" spans="1:63" ht="14.25" customHeight="1" x14ac:dyDescent="0.25">
      <c r="A677" s="9"/>
      <c r="B677" s="2"/>
      <c r="C677" s="3"/>
      <c r="D677" s="9"/>
      <c r="E677" s="9"/>
      <c r="F677" s="9"/>
      <c r="G677" s="9"/>
      <c r="H677" s="9"/>
      <c r="I677" s="8"/>
      <c r="J677" s="8"/>
      <c r="K677" s="8"/>
      <c r="L677" s="8"/>
      <c r="M677" s="8"/>
      <c r="N677" s="8"/>
      <c r="O677" s="8"/>
      <c r="P677" s="9"/>
      <c r="Q677" s="9"/>
      <c r="R677" s="9"/>
      <c r="S677" s="8"/>
      <c r="T677" s="8"/>
      <c r="U677" s="8"/>
      <c r="V677" s="8"/>
      <c r="W677" s="8"/>
      <c r="X677" s="8"/>
      <c r="Y677" s="8"/>
      <c r="Z677" s="194"/>
      <c r="AA677" s="194"/>
      <c r="AB677" s="194"/>
      <c r="AC677" s="11"/>
      <c r="AD677" s="11"/>
      <c r="AE677" s="11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3"/>
      <c r="AY677" s="13"/>
      <c r="AZ677" s="13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</row>
    <row r="678" spans="1:63" ht="14.25" customHeight="1" x14ac:dyDescent="0.25">
      <c r="A678" s="9"/>
      <c r="B678" s="2"/>
      <c r="C678" s="3"/>
      <c r="D678" s="9"/>
      <c r="E678" s="9"/>
      <c r="F678" s="9"/>
      <c r="G678" s="9"/>
      <c r="H678" s="9"/>
      <c r="I678" s="8"/>
      <c r="J678" s="8"/>
      <c r="K678" s="8"/>
      <c r="L678" s="8"/>
      <c r="M678" s="8"/>
      <c r="N678" s="8"/>
      <c r="O678" s="8"/>
      <c r="P678" s="9"/>
      <c r="Q678" s="9"/>
      <c r="R678" s="9"/>
      <c r="S678" s="8"/>
      <c r="T678" s="8"/>
      <c r="U678" s="8"/>
      <c r="V678" s="8"/>
      <c r="W678" s="8"/>
      <c r="X678" s="8"/>
      <c r="Y678" s="8"/>
      <c r="Z678" s="194"/>
      <c r="AA678" s="194"/>
      <c r="AB678" s="194"/>
      <c r="AC678" s="11"/>
      <c r="AD678" s="11"/>
      <c r="AE678" s="11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3"/>
      <c r="AY678" s="13"/>
      <c r="AZ678" s="13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</row>
    <row r="679" spans="1:63" ht="14.25" customHeight="1" x14ac:dyDescent="0.25">
      <c r="A679" s="9"/>
      <c r="B679" s="2"/>
      <c r="C679" s="3"/>
      <c r="D679" s="9"/>
      <c r="E679" s="9"/>
      <c r="F679" s="9"/>
      <c r="G679" s="9"/>
      <c r="H679" s="9"/>
      <c r="I679" s="8"/>
      <c r="J679" s="8"/>
      <c r="K679" s="8"/>
      <c r="L679" s="8"/>
      <c r="M679" s="8"/>
      <c r="N679" s="8"/>
      <c r="O679" s="8"/>
      <c r="P679" s="9"/>
      <c r="Q679" s="9"/>
      <c r="R679" s="9"/>
      <c r="S679" s="8"/>
      <c r="T679" s="8"/>
      <c r="U679" s="8"/>
      <c r="V679" s="8"/>
      <c r="W679" s="8"/>
      <c r="X679" s="8"/>
      <c r="Y679" s="8"/>
      <c r="Z679" s="194"/>
      <c r="AA679" s="194"/>
      <c r="AB679" s="194"/>
      <c r="AC679" s="11"/>
      <c r="AD679" s="11"/>
      <c r="AE679" s="11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3"/>
      <c r="AY679" s="13"/>
      <c r="AZ679" s="13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</row>
    <row r="680" spans="1:63" ht="14.25" customHeight="1" x14ac:dyDescent="0.25">
      <c r="A680" s="9"/>
      <c r="B680" s="2"/>
      <c r="C680" s="3"/>
      <c r="D680" s="9"/>
      <c r="E680" s="9"/>
      <c r="F680" s="9"/>
      <c r="G680" s="9"/>
      <c r="H680" s="9"/>
      <c r="I680" s="8"/>
      <c r="J680" s="8"/>
      <c r="K680" s="8"/>
      <c r="L680" s="8"/>
      <c r="M680" s="8"/>
      <c r="N680" s="8"/>
      <c r="O680" s="8"/>
      <c r="P680" s="9"/>
      <c r="Q680" s="9"/>
      <c r="R680" s="9"/>
      <c r="S680" s="8"/>
      <c r="T680" s="8"/>
      <c r="U680" s="8"/>
      <c r="V680" s="8"/>
      <c r="W680" s="8"/>
      <c r="X680" s="8"/>
      <c r="Y680" s="8"/>
      <c r="Z680" s="194"/>
      <c r="AA680" s="194"/>
      <c r="AB680" s="194"/>
      <c r="AC680" s="11"/>
      <c r="AD680" s="11"/>
      <c r="AE680" s="11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3"/>
      <c r="AY680" s="13"/>
      <c r="AZ680" s="13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</row>
    <row r="681" spans="1:63" ht="14.25" customHeight="1" x14ac:dyDescent="0.25">
      <c r="A681" s="9"/>
      <c r="B681" s="2"/>
      <c r="C681" s="3"/>
      <c r="D681" s="9"/>
      <c r="E681" s="9"/>
      <c r="F681" s="9"/>
      <c r="G681" s="9"/>
      <c r="H681" s="9"/>
      <c r="I681" s="8"/>
      <c r="J681" s="8"/>
      <c r="K681" s="8"/>
      <c r="L681" s="8"/>
      <c r="M681" s="8"/>
      <c r="N681" s="8"/>
      <c r="O681" s="8"/>
      <c r="P681" s="9"/>
      <c r="Q681" s="9"/>
      <c r="R681" s="9"/>
      <c r="S681" s="8"/>
      <c r="T681" s="8"/>
      <c r="U681" s="8"/>
      <c r="V681" s="8"/>
      <c r="W681" s="8"/>
      <c r="X681" s="8"/>
      <c r="Y681" s="8"/>
      <c r="Z681" s="194"/>
      <c r="AA681" s="194"/>
      <c r="AB681" s="194"/>
      <c r="AC681" s="11"/>
      <c r="AD681" s="11"/>
      <c r="AE681" s="11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3"/>
      <c r="AY681" s="13"/>
      <c r="AZ681" s="13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</row>
    <row r="682" spans="1:63" ht="14.25" customHeight="1" x14ac:dyDescent="0.25">
      <c r="A682" s="9"/>
      <c r="B682" s="2"/>
      <c r="C682" s="3"/>
      <c r="D682" s="9"/>
      <c r="E682" s="9"/>
      <c r="F682" s="9"/>
      <c r="G682" s="9"/>
      <c r="H682" s="9"/>
      <c r="I682" s="8"/>
      <c r="J682" s="8"/>
      <c r="K682" s="8"/>
      <c r="L682" s="8"/>
      <c r="M682" s="8"/>
      <c r="N682" s="8"/>
      <c r="O682" s="8"/>
      <c r="P682" s="9"/>
      <c r="Q682" s="9"/>
      <c r="R682" s="9"/>
      <c r="S682" s="8"/>
      <c r="T682" s="8"/>
      <c r="U682" s="8"/>
      <c r="V682" s="8"/>
      <c r="W682" s="8"/>
      <c r="X682" s="8"/>
      <c r="Y682" s="8"/>
      <c r="Z682" s="194"/>
      <c r="AA682" s="194"/>
      <c r="AB682" s="194"/>
      <c r="AC682" s="11"/>
      <c r="AD682" s="11"/>
      <c r="AE682" s="11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3"/>
      <c r="AY682" s="13"/>
      <c r="AZ682" s="13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</row>
    <row r="683" spans="1:63" ht="14.25" customHeight="1" x14ac:dyDescent="0.25">
      <c r="A683" s="9"/>
      <c r="B683" s="2"/>
      <c r="C683" s="3"/>
      <c r="D683" s="9"/>
      <c r="E683" s="9"/>
      <c r="F683" s="9"/>
      <c r="G683" s="9"/>
      <c r="H683" s="9"/>
      <c r="I683" s="8"/>
      <c r="J683" s="8"/>
      <c r="K683" s="8"/>
      <c r="L683" s="8"/>
      <c r="M683" s="8"/>
      <c r="N683" s="8"/>
      <c r="O683" s="8"/>
      <c r="P683" s="9"/>
      <c r="Q683" s="9"/>
      <c r="R683" s="9"/>
      <c r="S683" s="8"/>
      <c r="T683" s="8"/>
      <c r="U683" s="8"/>
      <c r="V683" s="8"/>
      <c r="W683" s="8"/>
      <c r="X683" s="8"/>
      <c r="Y683" s="8"/>
      <c r="Z683" s="194"/>
      <c r="AA683" s="194"/>
      <c r="AB683" s="194"/>
      <c r="AC683" s="11"/>
      <c r="AD683" s="11"/>
      <c r="AE683" s="11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3"/>
      <c r="AY683" s="13"/>
      <c r="AZ683" s="13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</row>
    <row r="684" spans="1:63" ht="14.25" customHeight="1" x14ac:dyDescent="0.25">
      <c r="A684" s="9"/>
      <c r="B684" s="2"/>
      <c r="C684" s="3"/>
      <c r="D684" s="9"/>
      <c r="E684" s="9"/>
      <c r="F684" s="9"/>
      <c r="G684" s="9"/>
      <c r="H684" s="9"/>
      <c r="I684" s="8"/>
      <c r="J684" s="8"/>
      <c r="K684" s="8"/>
      <c r="L684" s="8"/>
      <c r="M684" s="8"/>
      <c r="N684" s="8"/>
      <c r="O684" s="8"/>
      <c r="P684" s="9"/>
      <c r="Q684" s="9"/>
      <c r="R684" s="9"/>
      <c r="S684" s="8"/>
      <c r="T684" s="8"/>
      <c r="U684" s="8"/>
      <c r="V684" s="8"/>
      <c r="W684" s="8"/>
      <c r="X684" s="8"/>
      <c r="Y684" s="8"/>
      <c r="Z684" s="194"/>
      <c r="AA684" s="194"/>
      <c r="AB684" s="194"/>
      <c r="AC684" s="11"/>
      <c r="AD684" s="11"/>
      <c r="AE684" s="11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3"/>
      <c r="AY684" s="13"/>
      <c r="AZ684" s="13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</row>
    <row r="685" spans="1:63" ht="14.25" customHeight="1" x14ac:dyDescent="0.25">
      <c r="A685" s="9"/>
      <c r="B685" s="2"/>
      <c r="C685" s="3"/>
      <c r="D685" s="9"/>
      <c r="E685" s="9"/>
      <c r="F685" s="9"/>
      <c r="G685" s="9"/>
      <c r="H685" s="9"/>
      <c r="I685" s="8"/>
      <c r="J685" s="8"/>
      <c r="K685" s="8"/>
      <c r="L685" s="8"/>
      <c r="M685" s="8"/>
      <c r="N685" s="8"/>
      <c r="O685" s="8"/>
      <c r="P685" s="9"/>
      <c r="Q685" s="9"/>
      <c r="R685" s="9"/>
      <c r="S685" s="8"/>
      <c r="T685" s="8"/>
      <c r="U685" s="8"/>
      <c r="V685" s="8"/>
      <c r="W685" s="8"/>
      <c r="X685" s="8"/>
      <c r="Y685" s="8"/>
      <c r="Z685" s="194"/>
      <c r="AA685" s="194"/>
      <c r="AB685" s="194"/>
      <c r="AC685" s="11"/>
      <c r="AD685" s="11"/>
      <c r="AE685" s="11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3"/>
      <c r="AY685" s="13"/>
      <c r="AZ685" s="13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</row>
    <row r="686" spans="1:63" ht="14.25" customHeight="1" x14ac:dyDescent="0.25">
      <c r="A686" s="9"/>
      <c r="B686" s="2"/>
      <c r="C686" s="3"/>
      <c r="D686" s="9"/>
      <c r="E686" s="9"/>
      <c r="F686" s="9"/>
      <c r="G686" s="9"/>
      <c r="H686" s="9"/>
      <c r="I686" s="8"/>
      <c r="J686" s="8"/>
      <c r="K686" s="8"/>
      <c r="L686" s="8"/>
      <c r="M686" s="8"/>
      <c r="N686" s="8"/>
      <c r="O686" s="8"/>
      <c r="P686" s="9"/>
      <c r="Q686" s="9"/>
      <c r="R686" s="9"/>
      <c r="S686" s="8"/>
      <c r="T686" s="8"/>
      <c r="U686" s="8"/>
      <c r="V686" s="8"/>
      <c r="W686" s="8"/>
      <c r="X686" s="8"/>
      <c r="Y686" s="8"/>
      <c r="Z686" s="194"/>
      <c r="AA686" s="194"/>
      <c r="AB686" s="194"/>
      <c r="AC686" s="11"/>
      <c r="AD686" s="11"/>
      <c r="AE686" s="11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3"/>
      <c r="AY686" s="13"/>
      <c r="AZ686" s="13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</row>
    <row r="687" spans="1:63" ht="14.25" customHeight="1" x14ac:dyDescent="0.25">
      <c r="A687" s="9"/>
      <c r="B687" s="2"/>
      <c r="C687" s="3"/>
      <c r="D687" s="9"/>
      <c r="E687" s="9"/>
      <c r="F687" s="9"/>
      <c r="G687" s="9"/>
      <c r="H687" s="9"/>
      <c r="I687" s="8"/>
      <c r="J687" s="8"/>
      <c r="K687" s="8"/>
      <c r="L687" s="8"/>
      <c r="M687" s="8"/>
      <c r="N687" s="8"/>
      <c r="O687" s="8"/>
      <c r="P687" s="9"/>
      <c r="Q687" s="9"/>
      <c r="R687" s="9"/>
      <c r="S687" s="8"/>
      <c r="T687" s="8"/>
      <c r="U687" s="8"/>
      <c r="V687" s="8"/>
      <c r="W687" s="8"/>
      <c r="X687" s="8"/>
      <c r="Y687" s="8"/>
      <c r="Z687" s="194"/>
      <c r="AA687" s="194"/>
      <c r="AB687" s="194"/>
      <c r="AC687" s="11"/>
      <c r="AD687" s="11"/>
      <c r="AE687" s="11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3"/>
      <c r="AY687" s="13"/>
      <c r="AZ687" s="13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</row>
    <row r="688" spans="1:63" ht="14.25" customHeight="1" x14ac:dyDescent="0.25">
      <c r="A688" s="9"/>
      <c r="B688" s="2"/>
      <c r="C688" s="3"/>
      <c r="D688" s="9"/>
      <c r="E688" s="9"/>
      <c r="F688" s="9"/>
      <c r="G688" s="9"/>
      <c r="H688" s="9"/>
      <c r="I688" s="8"/>
      <c r="J688" s="8"/>
      <c r="K688" s="8"/>
      <c r="L688" s="8"/>
      <c r="M688" s="8"/>
      <c r="N688" s="8"/>
      <c r="O688" s="8"/>
      <c r="P688" s="9"/>
      <c r="Q688" s="9"/>
      <c r="R688" s="9"/>
      <c r="S688" s="8"/>
      <c r="T688" s="8"/>
      <c r="U688" s="8"/>
      <c r="V688" s="8"/>
      <c r="W688" s="8"/>
      <c r="X688" s="8"/>
      <c r="Y688" s="8"/>
      <c r="Z688" s="194"/>
      <c r="AA688" s="194"/>
      <c r="AB688" s="194"/>
      <c r="AC688" s="11"/>
      <c r="AD688" s="11"/>
      <c r="AE688" s="11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3"/>
      <c r="AY688" s="13"/>
      <c r="AZ688" s="13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</row>
    <row r="689" spans="1:63" ht="14.25" customHeight="1" x14ac:dyDescent="0.25">
      <c r="A689" s="9"/>
      <c r="B689" s="2"/>
      <c r="C689" s="3"/>
      <c r="D689" s="9"/>
      <c r="E689" s="9"/>
      <c r="F689" s="9"/>
      <c r="G689" s="9"/>
      <c r="H689" s="9"/>
      <c r="I689" s="8"/>
      <c r="J689" s="8"/>
      <c r="K689" s="8"/>
      <c r="L689" s="8"/>
      <c r="M689" s="8"/>
      <c r="N689" s="8"/>
      <c r="O689" s="8"/>
      <c r="P689" s="9"/>
      <c r="Q689" s="9"/>
      <c r="R689" s="9"/>
      <c r="S689" s="8"/>
      <c r="T689" s="8"/>
      <c r="U689" s="8"/>
      <c r="V689" s="8"/>
      <c r="W689" s="8"/>
      <c r="X689" s="8"/>
      <c r="Y689" s="8"/>
      <c r="Z689" s="194"/>
      <c r="AA689" s="194"/>
      <c r="AB689" s="194"/>
      <c r="AC689" s="11"/>
      <c r="AD689" s="11"/>
      <c r="AE689" s="11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3"/>
      <c r="AY689" s="13"/>
      <c r="AZ689" s="13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</row>
    <row r="690" spans="1:63" ht="14.25" customHeight="1" x14ac:dyDescent="0.25">
      <c r="A690" s="9"/>
      <c r="B690" s="2"/>
      <c r="C690" s="3"/>
      <c r="D690" s="9"/>
      <c r="E690" s="9"/>
      <c r="F690" s="9"/>
      <c r="G690" s="9"/>
      <c r="H690" s="9"/>
      <c r="I690" s="8"/>
      <c r="J690" s="8"/>
      <c r="K690" s="8"/>
      <c r="L690" s="8"/>
      <c r="M690" s="8"/>
      <c r="N690" s="8"/>
      <c r="O690" s="8"/>
      <c r="P690" s="9"/>
      <c r="Q690" s="9"/>
      <c r="R690" s="9"/>
      <c r="S690" s="8"/>
      <c r="T690" s="8"/>
      <c r="U690" s="8"/>
      <c r="V690" s="8"/>
      <c r="W690" s="8"/>
      <c r="X690" s="8"/>
      <c r="Y690" s="8"/>
      <c r="Z690" s="194"/>
      <c r="AA690" s="194"/>
      <c r="AB690" s="194"/>
      <c r="AC690" s="11"/>
      <c r="AD690" s="11"/>
      <c r="AE690" s="11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3"/>
      <c r="AY690" s="13"/>
      <c r="AZ690" s="13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</row>
    <row r="691" spans="1:63" ht="14.25" customHeight="1" x14ac:dyDescent="0.25">
      <c r="A691" s="9"/>
      <c r="B691" s="2"/>
      <c r="C691" s="3"/>
      <c r="D691" s="9"/>
      <c r="E691" s="9"/>
      <c r="F691" s="9"/>
      <c r="G691" s="9"/>
      <c r="H691" s="9"/>
      <c r="I691" s="8"/>
      <c r="J691" s="8"/>
      <c r="K691" s="8"/>
      <c r="L691" s="8"/>
      <c r="M691" s="8"/>
      <c r="N691" s="8"/>
      <c r="O691" s="8"/>
      <c r="P691" s="9"/>
      <c r="Q691" s="9"/>
      <c r="R691" s="9"/>
      <c r="S691" s="8"/>
      <c r="T691" s="8"/>
      <c r="U691" s="8"/>
      <c r="V691" s="8"/>
      <c r="W691" s="8"/>
      <c r="X691" s="8"/>
      <c r="Y691" s="8"/>
      <c r="Z691" s="194"/>
      <c r="AA691" s="194"/>
      <c r="AB691" s="194"/>
      <c r="AC691" s="11"/>
      <c r="AD691" s="11"/>
      <c r="AE691" s="11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3"/>
      <c r="AY691" s="13"/>
      <c r="AZ691" s="13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</row>
    <row r="692" spans="1:63" ht="14.25" customHeight="1" x14ac:dyDescent="0.25">
      <c r="A692" s="9"/>
      <c r="B692" s="2"/>
      <c r="C692" s="3"/>
      <c r="D692" s="9"/>
      <c r="E692" s="9"/>
      <c r="F692" s="9"/>
      <c r="G692" s="9"/>
      <c r="H692" s="9"/>
      <c r="I692" s="8"/>
      <c r="J692" s="8"/>
      <c r="K692" s="8"/>
      <c r="L692" s="8"/>
      <c r="M692" s="8"/>
      <c r="N692" s="8"/>
      <c r="O692" s="8"/>
      <c r="P692" s="9"/>
      <c r="Q692" s="9"/>
      <c r="R692" s="9"/>
      <c r="S692" s="8"/>
      <c r="T692" s="8"/>
      <c r="U692" s="8"/>
      <c r="V692" s="8"/>
      <c r="W692" s="8"/>
      <c r="X692" s="8"/>
      <c r="Y692" s="8"/>
      <c r="Z692" s="194"/>
      <c r="AA692" s="194"/>
      <c r="AB692" s="194"/>
      <c r="AC692" s="11"/>
      <c r="AD692" s="11"/>
      <c r="AE692" s="11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3"/>
      <c r="AY692" s="13"/>
      <c r="AZ692" s="13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</row>
    <row r="693" spans="1:63" ht="14.25" customHeight="1" x14ac:dyDescent="0.25">
      <c r="A693" s="9"/>
      <c r="B693" s="2"/>
      <c r="C693" s="3"/>
      <c r="D693" s="9"/>
      <c r="E693" s="9"/>
      <c r="F693" s="9"/>
      <c r="G693" s="9"/>
      <c r="H693" s="9"/>
      <c r="I693" s="8"/>
      <c r="J693" s="8"/>
      <c r="K693" s="8"/>
      <c r="L693" s="8"/>
      <c r="M693" s="8"/>
      <c r="N693" s="8"/>
      <c r="O693" s="8"/>
      <c r="P693" s="9"/>
      <c r="Q693" s="9"/>
      <c r="R693" s="9"/>
      <c r="S693" s="8"/>
      <c r="T693" s="8"/>
      <c r="U693" s="8"/>
      <c r="V693" s="8"/>
      <c r="W693" s="8"/>
      <c r="X693" s="8"/>
      <c r="Y693" s="8"/>
      <c r="Z693" s="194"/>
      <c r="AA693" s="194"/>
      <c r="AB693" s="194"/>
      <c r="AC693" s="11"/>
      <c r="AD693" s="11"/>
      <c r="AE693" s="11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3"/>
      <c r="AY693" s="13"/>
      <c r="AZ693" s="13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</row>
    <row r="694" spans="1:63" ht="14.25" customHeight="1" x14ac:dyDescent="0.25">
      <c r="A694" s="9"/>
      <c r="B694" s="2"/>
      <c r="C694" s="3"/>
      <c r="D694" s="9"/>
      <c r="E694" s="9"/>
      <c r="F694" s="9"/>
      <c r="G694" s="9"/>
      <c r="H694" s="9"/>
      <c r="I694" s="8"/>
      <c r="J694" s="8"/>
      <c r="K694" s="8"/>
      <c r="L694" s="8"/>
      <c r="M694" s="8"/>
      <c r="N694" s="8"/>
      <c r="O694" s="8"/>
      <c r="P694" s="9"/>
      <c r="Q694" s="9"/>
      <c r="R694" s="9"/>
      <c r="S694" s="8"/>
      <c r="T694" s="8"/>
      <c r="U694" s="8"/>
      <c r="V694" s="8"/>
      <c r="W694" s="8"/>
      <c r="X694" s="8"/>
      <c r="Y694" s="8"/>
      <c r="Z694" s="194"/>
      <c r="AA694" s="194"/>
      <c r="AB694" s="194"/>
      <c r="AC694" s="11"/>
      <c r="AD694" s="11"/>
      <c r="AE694" s="11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3"/>
      <c r="AY694" s="13"/>
      <c r="AZ694" s="13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</row>
    <row r="695" spans="1:63" ht="14.25" customHeight="1" x14ac:dyDescent="0.25">
      <c r="A695" s="9"/>
      <c r="B695" s="2"/>
      <c r="C695" s="3"/>
      <c r="D695" s="9"/>
      <c r="E695" s="9"/>
      <c r="F695" s="9"/>
      <c r="G695" s="9"/>
      <c r="H695" s="9"/>
      <c r="I695" s="8"/>
      <c r="J695" s="8"/>
      <c r="K695" s="8"/>
      <c r="L695" s="8"/>
      <c r="M695" s="8"/>
      <c r="N695" s="8"/>
      <c r="O695" s="8"/>
      <c r="P695" s="9"/>
      <c r="Q695" s="9"/>
      <c r="R695" s="9"/>
      <c r="S695" s="8"/>
      <c r="T695" s="8"/>
      <c r="U695" s="8"/>
      <c r="V695" s="8"/>
      <c r="W695" s="8"/>
      <c r="X695" s="8"/>
      <c r="Y695" s="8"/>
      <c r="Z695" s="194"/>
      <c r="AA695" s="194"/>
      <c r="AB695" s="194"/>
      <c r="AC695" s="11"/>
      <c r="AD695" s="11"/>
      <c r="AE695" s="11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3"/>
      <c r="AY695" s="13"/>
      <c r="AZ695" s="13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</row>
    <row r="696" spans="1:63" ht="14.25" customHeight="1" x14ac:dyDescent="0.25">
      <c r="A696" s="9"/>
      <c r="B696" s="2"/>
      <c r="C696" s="3"/>
      <c r="D696" s="9"/>
      <c r="E696" s="9"/>
      <c r="F696" s="9"/>
      <c r="G696" s="9"/>
      <c r="H696" s="9"/>
      <c r="I696" s="8"/>
      <c r="J696" s="8"/>
      <c r="K696" s="8"/>
      <c r="L696" s="8"/>
      <c r="M696" s="8"/>
      <c r="N696" s="8"/>
      <c r="O696" s="8"/>
      <c r="P696" s="9"/>
      <c r="Q696" s="9"/>
      <c r="R696" s="9"/>
      <c r="S696" s="8"/>
      <c r="T696" s="8"/>
      <c r="U696" s="8"/>
      <c r="V696" s="8"/>
      <c r="W696" s="8"/>
      <c r="X696" s="8"/>
      <c r="Y696" s="8"/>
      <c r="Z696" s="194"/>
      <c r="AA696" s="194"/>
      <c r="AB696" s="194"/>
      <c r="AC696" s="11"/>
      <c r="AD696" s="11"/>
      <c r="AE696" s="11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3"/>
      <c r="AY696" s="13"/>
      <c r="AZ696" s="13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</row>
    <row r="697" spans="1:63" ht="14.25" customHeight="1" x14ac:dyDescent="0.25">
      <c r="A697" s="9"/>
      <c r="B697" s="2"/>
      <c r="C697" s="3"/>
      <c r="D697" s="9"/>
      <c r="E697" s="9"/>
      <c r="F697" s="9"/>
      <c r="G697" s="9"/>
      <c r="H697" s="9"/>
      <c r="I697" s="8"/>
      <c r="J697" s="8"/>
      <c r="K697" s="8"/>
      <c r="L697" s="8"/>
      <c r="M697" s="8"/>
      <c r="N697" s="8"/>
      <c r="O697" s="8"/>
      <c r="P697" s="9"/>
      <c r="Q697" s="9"/>
      <c r="R697" s="9"/>
      <c r="S697" s="8"/>
      <c r="T697" s="8"/>
      <c r="U697" s="8"/>
      <c r="V697" s="8"/>
      <c r="W697" s="8"/>
      <c r="X697" s="8"/>
      <c r="Y697" s="8"/>
      <c r="Z697" s="194"/>
      <c r="AA697" s="194"/>
      <c r="AB697" s="194"/>
      <c r="AC697" s="11"/>
      <c r="AD697" s="11"/>
      <c r="AE697" s="11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3"/>
      <c r="AY697" s="13"/>
      <c r="AZ697" s="13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</row>
    <row r="698" spans="1:63" ht="14.25" customHeight="1" x14ac:dyDescent="0.25">
      <c r="A698" s="9"/>
      <c r="B698" s="2"/>
      <c r="C698" s="3"/>
      <c r="D698" s="9"/>
      <c r="E698" s="9"/>
      <c r="F698" s="9"/>
      <c r="G698" s="9"/>
      <c r="H698" s="9"/>
      <c r="I698" s="8"/>
      <c r="J698" s="8"/>
      <c r="K698" s="8"/>
      <c r="L698" s="8"/>
      <c r="M698" s="8"/>
      <c r="N698" s="8"/>
      <c r="O698" s="8"/>
      <c r="P698" s="9"/>
      <c r="Q698" s="9"/>
      <c r="R698" s="9"/>
      <c r="S698" s="8"/>
      <c r="T698" s="8"/>
      <c r="U698" s="8"/>
      <c r="V698" s="8"/>
      <c r="W698" s="8"/>
      <c r="X698" s="8"/>
      <c r="Y698" s="8"/>
      <c r="Z698" s="194"/>
      <c r="AA698" s="194"/>
      <c r="AB698" s="194"/>
      <c r="AC698" s="11"/>
      <c r="AD698" s="11"/>
      <c r="AE698" s="11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3"/>
      <c r="AY698" s="13"/>
      <c r="AZ698" s="13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</row>
    <row r="699" spans="1:63" ht="14.25" customHeight="1" x14ac:dyDescent="0.25">
      <c r="A699" s="9"/>
      <c r="B699" s="2"/>
      <c r="C699" s="3"/>
      <c r="D699" s="9"/>
      <c r="E699" s="9"/>
      <c r="F699" s="9"/>
      <c r="G699" s="9"/>
      <c r="H699" s="9"/>
      <c r="I699" s="8"/>
      <c r="J699" s="8"/>
      <c r="K699" s="8"/>
      <c r="L699" s="8"/>
      <c r="M699" s="8"/>
      <c r="N699" s="8"/>
      <c r="O699" s="8"/>
      <c r="P699" s="9"/>
      <c r="Q699" s="9"/>
      <c r="R699" s="9"/>
      <c r="S699" s="8"/>
      <c r="T699" s="8"/>
      <c r="U699" s="8"/>
      <c r="V699" s="8"/>
      <c r="W699" s="8"/>
      <c r="X699" s="8"/>
      <c r="Y699" s="8"/>
      <c r="Z699" s="194"/>
      <c r="AA699" s="194"/>
      <c r="AB699" s="194"/>
      <c r="AC699" s="11"/>
      <c r="AD699" s="11"/>
      <c r="AE699" s="11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3"/>
      <c r="AY699" s="13"/>
      <c r="AZ699" s="13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</row>
    <row r="700" spans="1:63" ht="14.25" customHeight="1" x14ac:dyDescent="0.25">
      <c r="A700" s="9"/>
      <c r="B700" s="2"/>
      <c r="C700" s="3"/>
      <c r="D700" s="9"/>
      <c r="E700" s="9"/>
      <c r="F700" s="9"/>
      <c r="G700" s="9"/>
      <c r="H700" s="9"/>
      <c r="I700" s="8"/>
      <c r="J700" s="8"/>
      <c r="K700" s="8"/>
      <c r="L700" s="8"/>
      <c r="M700" s="8"/>
      <c r="N700" s="8"/>
      <c r="O700" s="8"/>
      <c r="P700" s="9"/>
      <c r="Q700" s="9"/>
      <c r="R700" s="9"/>
      <c r="S700" s="8"/>
      <c r="T700" s="8"/>
      <c r="U700" s="8"/>
      <c r="V700" s="8"/>
      <c r="W700" s="8"/>
      <c r="X700" s="8"/>
      <c r="Y700" s="8"/>
      <c r="Z700" s="194"/>
      <c r="AA700" s="194"/>
      <c r="AB700" s="194"/>
      <c r="AC700" s="11"/>
      <c r="AD700" s="11"/>
      <c r="AE700" s="11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3"/>
      <c r="AY700" s="13"/>
      <c r="AZ700" s="13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</row>
    <row r="701" spans="1:63" ht="14.25" customHeight="1" x14ac:dyDescent="0.25">
      <c r="A701" s="9"/>
      <c r="B701" s="2"/>
      <c r="C701" s="3"/>
      <c r="D701" s="9"/>
      <c r="E701" s="9"/>
      <c r="F701" s="9"/>
      <c r="G701" s="9"/>
      <c r="H701" s="9"/>
      <c r="I701" s="8"/>
      <c r="J701" s="8"/>
      <c r="K701" s="8"/>
      <c r="L701" s="8"/>
      <c r="M701" s="8"/>
      <c r="N701" s="8"/>
      <c r="O701" s="8"/>
      <c r="P701" s="9"/>
      <c r="Q701" s="9"/>
      <c r="R701" s="9"/>
      <c r="S701" s="8"/>
      <c r="T701" s="8"/>
      <c r="U701" s="8"/>
      <c r="V701" s="8"/>
      <c r="W701" s="8"/>
      <c r="X701" s="8"/>
      <c r="Y701" s="8"/>
      <c r="Z701" s="194"/>
      <c r="AA701" s="194"/>
      <c r="AB701" s="194"/>
      <c r="AC701" s="11"/>
      <c r="AD701" s="11"/>
      <c r="AE701" s="11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3"/>
      <c r="AY701" s="13"/>
      <c r="AZ701" s="13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</row>
    <row r="702" spans="1:63" ht="14.25" customHeight="1" x14ac:dyDescent="0.25">
      <c r="A702" s="9"/>
      <c r="B702" s="2"/>
      <c r="C702" s="3"/>
      <c r="D702" s="9"/>
      <c r="E702" s="9"/>
      <c r="F702" s="9"/>
      <c r="G702" s="9"/>
      <c r="H702" s="9"/>
      <c r="I702" s="8"/>
      <c r="J702" s="8"/>
      <c r="K702" s="8"/>
      <c r="L702" s="8"/>
      <c r="M702" s="8"/>
      <c r="N702" s="8"/>
      <c r="O702" s="8"/>
      <c r="P702" s="9"/>
      <c r="Q702" s="9"/>
      <c r="R702" s="9"/>
      <c r="S702" s="8"/>
      <c r="T702" s="8"/>
      <c r="U702" s="8"/>
      <c r="V702" s="8"/>
      <c r="W702" s="8"/>
      <c r="X702" s="8"/>
      <c r="Y702" s="8"/>
      <c r="Z702" s="194"/>
      <c r="AA702" s="194"/>
      <c r="AB702" s="194"/>
      <c r="AC702" s="11"/>
      <c r="AD702" s="11"/>
      <c r="AE702" s="11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3"/>
      <c r="AY702" s="13"/>
      <c r="AZ702" s="13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</row>
    <row r="703" spans="1:63" ht="14.25" customHeight="1" x14ac:dyDescent="0.25">
      <c r="A703" s="9"/>
      <c r="B703" s="2"/>
      <c r="C703" s="3"/>
      <c r="D703" s="9"/>
      <c r="E703" s="9"/>
      <c r="F703" s="9"/>
      <c r="G703" s="9"/>
      <c r="H703" s="9"/>
      <c r="I703" s="8"/>
      <c r="J703" s="8"/>
      <c r="K703" s="8"/>
      <c r="L703" s="8"/>
      <c r="M703" s="8"/>
      <c r="N703" s="8"/>
      <c r="O703" s="8"/>
      <c r="P703" s="9"/>
      <c r="Q703" s="9"/>
      <c r="R703" s="9"/>
      <c r="S703" s="8"/>
      <c r="T703" s="8"/>
      <c r="U703" s="8"/>
      <c r="V703" s="8"/>
      <c r="W703" s="8"/>
      <c r="X703" s="8"/>
      <c r="Y703" s="8"/>
      <c r="Z703" s="194"/>
      <c r="AA703" s="194"/>
      <c r="AB703" s="194"/>
      <c r="AC703" s="11"/>
      <c r="AD703" s="11"/>
      <c r="AE703" s="11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3"/>
      <c r="AY703" s="13"/>
      <c r="AZ703" s="13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</row>
    <row r="704" spans="1:63" ht="14.25" customHeight="1" x14ac:dyDescent="0.25">
      <c r="A704" s="9"/>
      <c r="B704" s="2"/>
      <c r="C704" s="3"/>
      <c r="D704" s="9"/>
      <c r="E704" s="9"/>
      <c r="F704" s="9"/>
      <c r="G704" s="9"/>
      <c r="H704" s="9"/>
      <c r="I704" s="8"/>
      <c r="J704" s="8"/>
      <c r="K704" s="8"/>
      <c r="L704" s="8"/>
      <c r="M704" s="8"/>
      <c r="N704" s="8"/>
      <c r="O704" s="8"/>
      <c r="P704" s="9"/>
      <c r="Q704" s="9"/>
      <c r="R704" s="9"/>
      <c r="S704" s="8"/>
      <c r="T704" s="8"/>
      <c r="U704" s="8"/>
      <c r="V704" s="8"/>
      <c r="W704" s="8"/>
      <c r="X704" s="8"/>
      <c r="Y704" s="8"/>
      <c r="Z704" s="194"/>
      <c r="AA704" s="194"/>
      <c r="AB704" s="194"/>
      <c r="AC704" s="11"/>
      <c r="AD704" s="11"/>
      <c r="AE704" s="11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3"/>
      <c r="AY704" s="13"/>
      <c r="AZ704" s="13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</row>
    <row r="705" spans="1:63" ht="14.25" customHeight="1" x14ac:dyDescent="0.25">
      <c r="A705" s="9"/>
      <c r="B705" s="2"/>
      <c r="C705" s="3"/>
      <c r="D705" s="9"/>
      <c r="E705" s="9"/>
      <c r="F705" s="9"/>
      <c r="G705" s="9"/>
      <c r="H705" s="9"/>
      <c r="I705" s="8"/>
      <c r="J705" s="8"/>
      <c r="K705" s="8"/>
      <c r="L705" s="8"/>
      <c r="M705" s="8"/>
      <c r="N705" s="8"/>
      <c r="O705" s="8"/>
      <c r="P705" s="9"/>
      <c r="Q705" s="9"/>
      <c r="R705" s="9"/>
      <c r="S705" s="8"/>
      <c r="T705" s="8"/>
      <c r="U705" s="8"/>
      <c r="V705" s="8"/>
      <c r="W705" s="8"/>
      <c r="X705" s="8"/>
      <c r="Y705" s="8"/>
      <c r="Z705" s="194"/>
      <c r="AA705" s="194"/>
      <c r="AB705" s="194"/>
      <c r="AC705" s="11"/>
      <c r="AD705" s="11"/>
      <c r="AE705" s="11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3"/>
      <c r="AY705" s="13"/>
      <c r="AZ705" s="13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</row>
    <row r="706" spans="1:63" ht="14.25" customHeight="1" x14ac:dyDescent="0.25">
      <c r="A706" s="9"/>
      <c r="B706" s="2"/>
      <c r="C706" s="3"/>
      <c r="D706" s="9"/>
      <c r="E706" s="9"/>
      <c r="F706" s="9"/>
      <c r="G706" s="9"/>
      <c r="H706" s="9"/>
      <c r="I706" s="8"/>
      <c r="J706" s="8"/>
      <c r="K706" s="8"/>
      <c r="L706" s="8"/>
      <c r="M706" s="8"/>
      <c r="N706" s="8"/>
      <c r="O706" s="8"/>
      <c r="P706" s="9"/>
      <c r="Q706" s="9"/>
      <c r="R706" s="9"/>
      <c r="S706" s="8"/>
      <c r="T706" s="8"/>
      <c r="U706" s="8"/>
      <c r="V706" s="8"/>
      <c r="W706" s="8"/>
      <c r="X706" s="8"/>
      <c r="Y706" s="8"/>
      <c r="Z706" s="194"/>
      <c r="AA706" s="194"/>
      <c r="AB706" s="194"/>
      <c r="AC706" s="11"/>
      <c r="AD706" s="11"/>
      <c r="AE706" s="11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3"/>
      <c r="AY706" s="13"/>
      <c r="AZ706" s="13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</row>
    <row r="707" spans="1:63" ht="14.25" customHeight="1" x14ac:dyDescent="0.25">
      <c r="A707" s="9"/>
      <c r="B707" s="2"/>
      <c r="C707" s="3"/>
      <c r="D707" s="9"/>
      <c r="E707" s="9"/>
      <c r="F707" s="9"/>
      <c r="G707" s="9"/>
      <c r="H707" s="9"/>
      <c r="I707" s="8"/>
      <c r="J707" s="8"/>
      <c r="K707" s="8"/>
      <c r="L707" s="8"/>
      <c r="M707" s="8"/>
      <c r="N707" s="8"/>
      <c r="O707" s="8"/>
      <c r="P707" s="9"/>
      <c r="Q707" s="9"/>
      <c r="R707" s="9"/>
      <c r="S707" s="8"/>
      <c r="T707" s="8"/>
      <c r="U707" s="8"/>
      <c r="V707" s="8"/>
      <c r="W707" s="8"/>
      <c r="X707" s="8"/>
      <c r="Y707" s="8"/>
      <c r="Z707" s="194"/>
      <c r="AA707" s="194"/>
      <c r="AB707" s="194"/>
      <c r="AC707" s="11"/>
      <c r="AD707" s="11"/>
      <c r="AE707" s="11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3"/>
      <c r="AY707" s="13"/>
      <c r="AZ707" s="13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</row>
    <row r="708" spans="1:63" ht="14.25" customHeight="1" x14ac:dyDescent="0.25">
      <c r="A708" s="9"/>
      <c r="B708" s="2"/>
      <c r="C708" s="3"/>
      <c r="D708" s="9"/>
      <c r="E708" s="9"/>
      <c r="F708" s="9"/>
      <c r="G708" s="9"/>
      <c r="H708" s="9"/>
      <c r="I708" s="8"/>
      <c r="J708" s="8"/>
      <c r="K708" s="8"/>
      <c r="L708" s="8"/>
      <c r="M708" s="8"/>
      <c r="N708" s="8"/>
      <c r="O708" s="8"/>
      <c r="P708" s="9"/>
      <c r="Q708" s="9"/>
      <c r="R708" s="9"/>
      <c r="S708" s="8"/>
      <c r="T708" s="8"/>
      <c r="U708" s="8"/>
      <c r="V708" s="8"/>
      <c r="W708" s="8"/>
      <c r="X708" s="8"/>
      <c r="Y708" s="8"/>
      <c r="Z708" s="194"/>
      <c r="AA708" s="194"/>
      <c r="AB708" s="194"/>
      <c r="AC708" s="11"/>
      <c r="AD708" s="11"/>
      <c r="AE708" s="11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3"/>
      <c r="AY708" s="13"/>
      <c r="AZ708" s="13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</row>
    <row r="709" spans="1:63" ht="14.25" customHeight="1" x14ac:dyDescent="0.25">
      <c r="A709" s="9"/>
      <c r="B709" s="2"/>
      <c r="C709" s="3"/>
      <c r="D709" s="9"/>
      <c r="E709" s="9"/>
      <c r="F709" s="9"/>
      <c r="G709" s="9"/>
      <c r="H709" s="9"/>
      <c r="I709" s="8"/>
      <c r="J709" s="8"/>
      <c r="K709" s="8"/>
      <c r="L709" s="8"/>
      <c r="M709" s="8"/>
      <c r="N709" s="8"/>
      <c r="O709" s="8"/>
      <c r="P709" s="9"/>
      <c r="Q709" s="9"/>
      <c r="R709" s="9"/>
      <c r="S709" s="8"/>
      <c r="T709" s="8"/>
      <c r="U709" s="8"/>
      <c r="V709" s="8"/>
      <c r="W709" s="8"/>
      <c r="X709" s="8"/>
      <c r="Y709" s="8"/>
      <c r="Z709" s="194"/>
      <c r="AA709" s="194"/>
      <c r="AB709" s="194"/>
      <c r="AC709" s="11"/>
      <c r="AD709" s="11"/>
      <c r="AE709" s="11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3"/>
      <c r="AY709" s="13"/>
      <c r="AZ709" s="13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</row>
    <row r="710" spans="1:63" ht="14.25" customHeight="1" x14ac:dyDescent="0.25">
      <c r="A710" s="9"/>
      <c r="B710" s="2"/>
      <c r="C710" s="3"/>
      <c r="D710" s="9"/>
      <c r="E710" s="9"/>
      <c r="F710" s="9"/>
      <c r="G710" s="9"/>
      <c r="H710" s="9"/>
      <c r="I710" s="8"/>
      <c r="J710" s="8"/>
      <c r="K710" s="8"/>
      <c r="L710" s="8"/>
      <c r="M710" s="8"/>
      <c r="N710" s="8"/>
      <c r="O710" s="8"/>
      <c r="P710" s="9"/>
      <c r="Q710" s="9"/>
      <c r="R710" s="9"/>
      <c r="S710" s="8"/>
      <c r="T710" s="8"/>
      <c r="U710" s="8"/>
      <c r="V710" s="8"/>
      <c r="W710" s="8"/>
      <c r="X710" s="8"/>
      <c r="Y710" s="8"/>
      <c r="Z710" s="194"/>
      <c r="AA710" s="194"/>
      <c r="AB710" s="194"/>
      <c r="AC710" s="11"/>
      <c r="AD710" s="11"/>
      <c r="AE710" s="11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3"/>
      <c r="AY710" s="13"/>
      <c r="AZ710" s="13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</row>
    <row r="711" spans="1:63" ht="14.25" customHeight="1" x14ac:dyDescent="0.25">
      <c r="A711" s="9"/>
      <c r="B711" s="2"/>
      <c r="C711" s="3"/>
      <c r="D711" s="9"/>
      <c r="E711" s="9"/>
      <c r="F711" s="9"/>
      <c r="G711" s="9"/>
      <c r="H711" s="9"/>
      <c r="I711" s="8"/>
      <c r="J711" s="8"/>
      <c r="K711" s="8"/>
      <c r="L711" s="8"/>
      <c r="M711" s="8"/>
      <c r="N711" s="8"/>
      <c r="O711" s="8"/>
      <c r="P711" s="9"/>
      <c r="Q711" s="9"/>
      <c r="R711" s="9"/>
      <c r="S711" s="8"/>
      <c r="T711" s="8"/>
      <c r="U711" s="8"/>
      <c r="V711" s="8"/>
      <c r="W711" s="8"/>
      <c r="X711" s="8"/>
      <c r="Y711" s="8"/>
      <c r="Z711" s="194"/>
      <c r="AA711" s="194"/>
      <c r="AB711" s="194"/>
      <c r="AC711" s="11"/>
      <c r="AD711" s="11"/>
      <c r="AE711" s="11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3"/>
      <c r="AY711" s="13"/>
      <c r="AZ711" s="13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</row>
    <row r="712" spans="1:63" ht="14.25" customHeight="1" x14ac:dyDescent="0.25">
      <c r="A712" s="9"/>
      <c r="B712" s="2"/>
      <c r="C712" s="3"/>
      <c r="D712" s="9"/>
      <c r="E712" s="9"/>
      <c r="F712" s="9"/>
      <c r="G712" s="9"/>
      <c r="H712" s="9"/>
      <c r="I712" s="8"/>
      <c r="J712" s="8"/>
      <c r="K712" s="8"/>
      <c r="L712" s="8"/>
      <c r="M712" s="8"/>
      <c r="N712" s="8"/>
      <c r="O712" s="8"/>
      <c r="P712" s="9"/>
      <c r="Q712" s="9"/>
      <c r="R712" s="9"/>
      <c r="S712" s="8"/>
      <c r="T712" s="8"/>
      <c r="U712" s="8"/>
      <c r="V712" s="8"/>
      <c r="W712" s="8"/>
      <c r="X712" s="8"/>
      <c r="Y712" s="8"/>
      <c r="Z712" s="194"/>
      <c r="AA712" s="194"/>
      <c r="AB712" s="194"/>
      <c r="AC712" s="11"/>
      <c r="AD712" s="11"/>
      <c r="AE712" s="11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3"/>
      <c r="AY712" s="13"/>
      <c r="AZ712" s="13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</row>
    <row r="713" spans="1:63" ht="14.25" customHeight="1" x14ac:dyDescent="0.25">
      <c r="A713" s="9"/>
      <c r="B713" s="2"/>
      <c r="C713" s="3"/>
      <c r="D713" s="9"/>
      <c r="E713" s="9"/>
      <c r="F713" s="9"/>
      <c r="G713" s="9"/>
      <c r="H713" s="9"/>
      <c r="I713" s="8"/>
      <c r="J713" s="8"/>
      <c r="K713" s="8"/>
      <c r="L713" s="8"/>
      <c r="M713" s="8"/>
      <c r="N713" s="8"/>
      <c r="O713" s="8"/>
      <c r="P713" s="9"/>
      <c r="Q713" s="9"/>
      <c r="R713" s="9"/>
      <c r="S713" s="8"/>
      <c r="T713" s="8"/>
      <c r="U713" s="8"/>
      <c r="V713" s="8"/>
      <c r="W713" s="8"/>
      <c r="X713" s="8"/>
      <c r="Y713" s="8"/>
      <c r="Z713" s="194"/>
      <c r="AA713" s="194"/>
      <c r="AB713" s="194"/>
      <c r="AC713" s="11"/>
      <c r="AD713" s="11"/>
      <c r="AE713" s="11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3"/>
      <c r="AY713" s="13"/>
      <c r="AZ713" s="13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</row>
    <row r="714" spans="1:63" ht="14.25" customHeight="1" x14ac:dyDescent="0.25">
      <c r="A714" s="9"/>
      <c r="B714" s="2"/>
      <c r="C714" s="3"/>
      <c r="D714" s="9"/>
      <c r="E714" s="9"/>
      <c r="F714" s="9"/>
      <c r="G714" s="9"/>
      <c r="H714" s="9"/>
      <c r="I714" s="8"/>
      <c r="J714" s="8"/>
      <c r="K714" s="8"/>
      <c r="L714" s="8"/>
      <c r="M714" s="8"/>
      <c r="N714" s="8"/>
      <c r="O714" s="8"/>
      <c r="P714" s="9"/>
      <c r="Q714" s="9"/>
      <c r="R714" s="9"/>
      <c r="S714" s="8"/>
      <c r="T714" s="8"/>
      <c r="U714" s="8"/>
      <c r="V714" s="8"/>
      <c r="W714" s="8"/>
      <c r="X714" s="8"/>
      <c r="Y714" s="8"/>
      <c r="Z714" s="194"/>
      <c r="AA714" s="194"/>
      <c r="AB714" s="194"/>
      <c r="AC714" s="11"/>
      <c r="AD714" s="11"/>
      <c r="AE714" s="11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3"/>
      <c r="AY714" s="13"/>
      <c r="AZ714" s="13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</row>
    <row r="715" spans="1:63" ht="14.25" customHeight="1" x14ac:dyDescent="0.25">
      <c r="A715" s="9"/>
      <c r="B715" s="2"/>
      <c r="C715" s="3"/>
      <c r="D715" s="9"/>
      <c r="E715" s="9"/>
      <c r="F715" s="9"/>
      <c r="G715" s="9"/>
      <c r="H715" s="9"/>
      <c r="I715" s="8"/>
      <c r="J715" s="8"/>
      <c r="K715" s="8"/>
      <c r="L715" s="8"/>
      <c r="M715" s="8"/>
      <c r="N715" s="8"/>
      <c r="O715" s="8"/>
      <c r="P715" s="9"/>
      <c r="Q715" s="9"/>
      <c r="R715" s="9"/>
      <c r="S715" s="8"/>
      <c r="T715" s="8"/>
      <c r="U715" s="8"/>
      <c r="V715" s="8"/>
      <c r="W715" s="8"/>
      <c r="X715" s="8"/>
      <c r="Y715" s="8"/>
      <c r="Z715" s="194"/>
      <c r="AA715" s="194"/>
      <c r="AB715" s="194"/>
      <c r="AC715" s="11"/>
      <c r="AD715" s="11"/>
      <c r="AE715" s="11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3"/>
      <c r="AY715" s="13"/>
      <c r="AZ715" s="13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</row>
    <row r="716" spans="1:63" ht="14.25" customHeight="1" x14ac:dyDescent="0.25">
      <c r="A716" s="9"/>
      <c r="B716" s="2"/>
      <c r="C716" s="3"/>
      <c r="D716" s="9"/>
      <c r="E716" s="9"/>
      <c r="F716" s="9"/>
      <c r="G716" s="9"/>
      <c r="H716" s="9"/>
      <c r="I716" s="8"/>
      <c r="J716" s="8"/>
      <c r="K716" s="8"/>
      <c r="L716" s="8"/>
      <c r="M716" s="8"/>
      <c r="N716" s="8"/>
      <c r="O716" s="8"/>
      <c r="P716" s="9"/>
      <c r="Q716" s="9"/>
      <c r="R716" s="9"/>
      <c r="S716" s="8"/>
      <c r="T716" s="8"/>
      <c r="U716" s="8"/>
      <c r="V716" s="8"/>
      <c r="W716" s="8"/>
      <c r="X716" s="8"/>
      <c r="Y716" s="8"/>
      <c r="Z716" s="194"/>
      <c r="AA716" s="194"/>
      <c r="AB716" s="194"/>
      <c r="AC716" s="11"/>
      <c r="AD716" s="11"/>
      <c r="AE716" s="11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3"/>
      <c r="AY716" s="13"/>
      <c r="AZ716" s="13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</row>
    <row r="717" spans="1:63" ht="14.25" customHeight="1" x14ac:dyDescent="0.25">
      <c r="A717" s="9"/>
      <c r="B717" s="2"/>
      <c r="C717" s="3"/>
      <c r="D717" s="9"/>
      <c r="E717" s="9"/>
      <c r="F717" s="9"/>
      <c r="G717" s="9"/>
      <c r="H717" s="9"/>
      <c r="I717" s="8"/>
      <c r="J717" s="8"/>
      <c r="K717" s="8"/>
      <c r="L717" s="8"/>
      <c r="M717" s="8"/>
      <c r="N717" s="8"/>
      <c r="O717" s="8"/>
      <c r="P717" s="9"/>
      <c r="Q717" s="9"/>
      <c r="R717" s="9"/>
      <c r="S717" s="8"/>
      <c r="T717" s="8"/>
      <c r="U717" s="8"/>
      <c r="V717" s="8"/>
      <c r="W717" s="8"/>
      <c r="X717" s="8"/>
      <c r="Y717" s="8"/>
      <c r="Z717" s="194"/>
      <c r="AA717" s="194"/>
      <c r="AB717" s="194"/>
      <c r="AC717" s="11"/>
      <c r="AD717" s="11"/>
      <c r="AE717" s="11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3"/>
      <c r="AY717" s="13"/>
      <c r="AZ717" s="13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</row>
    <row r="718" spans="1:63" ht="14.25" customHeight="1" x14ac:dyDescent="0.25">
      <c r="A718" s="9"/>
      <c r="B718" s="2"/>
      <c r="C718" s="3"/>
      <c r="D718" s="9"/>
      <c r="E718" s="9"/>
      <c r="F718" s="9"/>
      <c r="G718" s="9"/>
      <c r="H718" s="9"/>
      <c r="I718" s="8"/>
      <c r="J718" s="8"/>
      <c r="K718" s="8"/>
      <c r="L718" s="8"/>
      <c r="M718" s="8"/>
      <c r="N718" s="8"/>
      <c r="O718" s="8"/>
      <c r="P718" s="9"/>
      <c r="Q718" s="9"/>
      <c r="R718" s="9"/>
      <c r="S718" s="8"/>
      <c r="T718" s="8"/>
      <c r="U718" s="8"/>
      <c r="V718" s="8"/>
      <c r="W718" s="8"/>
      <c r="X718" s="8"/>
      <c r="Y718" s="8"/>
      <c r="Z718" s="194"/>
      <c r="AA718" s="194"/>
      <c r="AB718" s="194"/>
      <c r="AC718" s="11"/>
      <c r="AD718" s="11"/>
      <c r="AE718" s="11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3"/>
      <c r="AY718" s="13"/>
      <c r="AZ718" s="13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</row>
    <row r="719" spans="1:63" ht="14.25" customHeight="1" x14ac:dyDescent="0.25">
      <c r="A719" s="9"/>
      <c r="B719" s="2"/>
      <c r="C719" s="3"/>
      <c r="D719" s="9"/>
      <c r="E719" s="9"/>
      <c r="F719" s="9"/>
      <c r="G719" s="9"/>
      <c r="H719" s="9"/>
      <c r="I719" s="8"/>
      <c r="J719" s="8"/>
      <c r="K719" s="8"/>
      <c r="L719" s="8"/>
      <c r="M719" s="8"/>
      <c r="N719" s="8"/>
      <c r="O719" s="8"/>
      <c r="P719" s="9"/>
      <c r="Q719" s="9"/>
      <c r="R719" s="9"/>
      <c r="S719" s="8"/>
      <c r="T719" s="8"/>
      <c r="U719" s="8"/>
      <c r="V719" s="8"/>
      <c r="W719" s="8"/>
      <c r="X719" s="8"/>
      <c r="Y719" s="8"/>
      <c r="Z719" s="194"/>
      <c r="AA719" s="194"/>
      <c r="AB719" s="194"/>
      <c r="AC719" s="11"/>
      <c r="AD719" s="11"/>
      <c r="AE719" s="11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3"/>
      <c r="AY719" s="13"/>
      <c r="AZ719" s="13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</row>
    <row r="720" spans="1:63" ht="14.25" customHeight="1" x14ac:dyDescent="0.25">
      <c r="A720" s="9"/>
      <c r="B720" s="2"/>
      <c r="C720" s="3"/>
      <c r="D720" s="9"/>
      <c r="E720" s="9"/>
      <c r="F720" s="9"/>
      <c r="G720" s="9"/>
      <c r="H720" s="9"/>
      <c r="I720" s="8"/>
      <c r="J720" s="8"/>
      <c r="K720" s="8"/>
      <c r="L720" s="8"/>
      <c r="M720" s="8"/>
      <c r="N720" s="8"/>
      <c r="O720" s="8"/>
      <c r="P720" s="9"/>
      <c r="Q720" s="9"/>
      <c r="R720" s="9"/>
      <c r="S720" s="8"/>
      <c r="T720" s="8"/>
      <c r="U720" s="8"/>
      <c r="V720" s="8"/>
      <c r="W720" s="8"/>
      <c r="X720" s="8"/>
      <c r="Y720" s="8"/>
      <c r="Z720" s="194"/>
      <c r="AA720" s="194"/>
      <c r="AB720" s="194"/>
      <c r="AC720" s="11"/>
      <c r="AD720" s="11"/>
      <c r="AE720" s="11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3"/>
      <c r="AY720" s="13"/>
      <c r="AZ720" s="13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</row>
    <row r="721" spans="1:63" ht="14.25" customHeight="1" x14ac:dyDescent="0.25">
      <c r="A721" s="9"/>
      <c r="B721" s="2"/>
      <c r="C721" s="3"/>
      <c r="D721" s="9"/>
      <c r="E721" s="9"/>
      <c r="F721" s="9"/>
      <c r="G721" s="9"/>
      <c r="H721" s="9"/>
      <c r="I721" s="8"/>
      <c r="J721" s="8"/>
      <c r="K721" s="8"/>
      <c r="L721" s="8"/>
      <c r="M721" s="8"/>
      <c r="N721" s="8"/>
      <c r="O721" s="8"/>
      <c r="P721" s="9"/>
      <c r="Q721" s="9"/>
      <c r="R721" s="9"/>
      <c r="S721" s="8"/>
      <c r="T721" s="8"/>
      <c r="U721" s="8"/>
      <c r="V721" s="8"/>
      <c r="W721" s="8"/>
      <c r="X721" s="8"/>
      <c r="Y721" s="8"/>
      <c r="Z721" s="194"/>
      <c r="AA721" s="194"/>
      <c r="AB721" s="194"/>
      <c r="AC721" s="11"/>
      <c r="AD721" s="11"/>
      <c r="AE721" s="11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3"/>
      <c r="AY721" s="13"/>
      <c r="AZ721" s="13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</row>
    <row r="722" spans="1:63" ht="14.25" customHeight="1" x14ac:dyDescent="0.25">
      <c r="A722" s="9"/>
      <c r="B722" s="2"/>
      <c r="C722" s="3"/>
      <c r="D722" s="9"/>
      <c r="E722" s="9"/>
      <c r="F722" s="9"/>
      <c r="G722" s="9"/>
      <c r="H722" s="9"/>
      <c r="I722" s="8"/>
      <c r="J722" s="8"/>
      <c r="K722" s="8"/>
      <c r="L722" s="8"/>
      <c r="M722" s="8"/>
      <c r="N722" s="8"/>
      <c r="O722" s="8"/>
      <c r="P722" s="9"/>
      <c r="Q722" s="9"/>
      <c r="R722" s="9"/>
      <c r="S722" s="8"/>
      <c r="T722" s="8"/>
      <c r="U722" s="8"/>
      <c r="V722" s="8"/>
      <c r="W722" s="8"/>
      <c r="X722" s="8"/>
      <c r="Y722" s="8"/>
      <c r="Z722" s="194"/>
      <c r="AA722" s="194"/>
      <c r="AB722" s="194"/>
      <c r="AC722" s="11"/>
      <c r="AD722" s="11"/>
      <c r="AE722" s="11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3"/>
      <c r="AY722" s="13"/>
      <c r="AZ722" s="13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</row>
    <row r="723" spans="1:63" ht="14.25" customHeight="1" x14ac:dyDescent="0.25">
      <c r="A723" s="9"/>
      <c r="B723" s="2"/>
      <c r="C723" s="3"/>
      <c r="D723" s="9"/>
      <c r="E723" s="9"/>
      <c r="F723" s="9"/>
      <c r="G723" s="9"/>
      <c r="H723" s="9"/>
      <c r="I723" s="8"/>
      <c r="J723" s="8"/>
      <c r="K723" s="8"/>
      <c r="L723" s="8"/>
      <c r="M723" s="8"/>
      <c r="N723" s="8"/>
      <c r="O723" s="8"/>
      <c r="P723" s="9"/>
      <c r="Q723" s="9"/>
      <c r="R723" s="9"/>
      <c r="S723" s="8"/>
      <c r="T723" s="8"/>
      <c r="U723" s="8"/>
      <c r="V723" s="8"/>
      <c r="W723" s="8"/>
      <c r="X723" s="8"/>
      <c r="Y723" s="8"/>
      <c r="Z723" s="194"/>
      <c r="AA723" s="194"/>
      <c r="AB723" s="194"/>
      <c r="AC723" s="11"/>
      <c r="AD723" s="11"/>
      <c r="AE723" s="11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3"/>
      <c r="AY723" s="13"/>
      <c r="AZ723" s="13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</row>
    <row r="724" spans="1:63" ht="14.25" customHeight="1" x14ac:dyDescent="0.25">
      <c r="A724" s="9"/>
      <c r="B724" s="2"/>
      <c r="C724" s="3"/>
      <c r="D724" s="9"/>
      <c r="E724" s="9"/>
      <c r="F724" s="9"/>
      <c r="G724" s="9"/>
      <c r="H724" s="9"/>
      <c r="I724" s="8"/>
      <c r="J724" s="8"/>
      <c r="K724" s="8"/>
      <c r="L724" s="8"/>
      <c r="M724" s="8"/>
      <c r="N724" s="8"/>
      <c r="O724" s="8"/>
      <c r="P724" s="9"/>
      <c r="Q724" s="9"/>
      <c r="R724" s="9"/>
      <c r="S724" s="8"/>
      <c r="T724" s="8"/>
      <c r="U724" s="8"/>
      <c r="V724" s="8"/>
      <c r="W724" s="8"/>
      <c r="X724" s="8"/>
      <c r="Y724" s="8"/>
      <c r="Z724" s="194"/>
      <c r="AA724" s="194"/>
      <c r="AB724" s="194"/>
      <c r="AC724" s="11"/>
      <c r="AD724" s="11"/>
      <c r="AE724" s="11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3"/>
      <c r="AY724" s="13"/>
      <c r="AZ724" s="13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</row>
    <row r="725" spans="1:63" ht="14.25" customHeight="1" x14ac:dyDescent="0.25">
      <c r="A725" s="9"/>
      <c r="B725" s="2"/>
      <c r="C725" s="3"/>
      <c r="D725" s="9"/>
      <c r="E725" s="9"/>
      <c r="F725" s="9"/>
      <c r="G725" s="9"/>
      <c r="H725" s="9"/>
      <c r="I725" s="8"/>
      <c r="J725" s="8"/>
      <c r="K725" s="8"/>
      <c r="L725" s="8"/>
      <c r="M725" s="8"/>
      <c r="N725" s="8"/>
      <c r="O725" s="8"/>
      <c r="P725" s="9"/>
      <c r="Q725" s="9"/>
      <c r="R725" s="9"/>
      <c r="S725" s="8"/>
      <c r="T725" s="8"/>
      <c r="U725" s="8"/>
      <c r="V725" s="8"/>
      <c r="W725" s="8"/>
      <c r="X725" s="8"/>
      <c r="Y725" s="8"/>
      <c r="Z725" s="194"/>
      <c r="AA725" s="194"/>
      <c r="AB725" s="194"/>
      <c r="AC725" s="11"/>
      <c r="AD725" s="11"/>
      <c r="AE725" s="11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3"/>
      <c r="AY725" s="13"/>
      <c r="AZ725" s="13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</row>
    <row r="726" spans="1:63" ht="14.25" customHeight="1" x14ac:dyDescent="0.25">
      <c r="A726" s="9"/>
      <c r="B726" s="2"/>
      <c r="C726" s="3"/>
      <c r="D726" s="9"/>
      <c r="E726" s="9"/>
      <c r="F726" s="9"/>
      <c r="G726" s="9"/>
      <c r="H726" s="9"/>
      <c r="I726" s="8"/>
      <c r="J726" s="8"/>
      <c r="K726" s="8"/>
      <c r="L726" s="8"/>
      <c r="M726" s="8"/>
      <c r="N726" s="8"/>
      <c r="O726" s="8"/>
      <c r="P726" s="9"/>
      <c r="Q726" s="9"/>
      <c r="R726" s="9"/>
      <c r="S726" s="8"/>
      <c r="T726" s="8"/>
      <c r="U726" s="8"/>
      <c r="V726" s="8"/>
      <c r="W726" s="8"/>
      <c r="X726" s="8"/>
      <c r="Y726" s="8"/>
      <c r="Z726" s="194"/>
      <c r="AA726" s="194"/>
      <c r="AB726" s="194"/>
      <c r="AC726" s="11"/>
      <c r="AD726" s="11"/>
      <c r="AE726" s="11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3"/>
      <c r="AY726" s="13"/>
      <c r="AZ726" s="13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</row>
    <row r="727" spans="1:63" ht="14.25" customHeight="1" x14ac:dyDescent="0.25">
      <c r="A727" s="9"/>
      <c r="B727" s="2"/>
      <c r="C727" s="3"/>
      <c r="D727" s="9"/>
      <c r="E727" s="9"/>
      <c r="F727" s="9"/>
      <c r="G727" s="9"/>
      <c r="H727" s="9"/>
      <c r="I727" s="8"/>
      <c r="J727" s="8"/>
      <c r="K727" s="8"/>
      <c r="L727" s="8"/>
      <c r="M727" s="8"/>
      <c r="N727" s="8"/>
      <c r="O727" s="8"/>
      <c r="P727" s="9"/>
      <c r="Q727" s="9"/>
      <c r="R727" s="9"/>
      <c r="S727" s="8"/>
      <c r="T727" s="8"/>
      <c r="U727" s="8"/>
      <c r="V727" s="8"/>
      <c r="W727" s="8"/>
      <c r="X727" s="8"/>
      <c r="Y727" s="8"/>
      <c r="Z727" s="194"/>
      <c r="AA727" s="194"/>
      <c r="AB727" s="194"/>
      <c r="AC727" s="11"/>
      <c r="AD727" s="11"/>
      <c r="AE727" s="11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3"/>
      <c r="AY727" s="13"/>
      <c r="AZ727" s="13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</row>
    <row r="728" spans="1:63" ht="14.25" customHeight="1" x14ac:dyDescent="0.25">
      <c r="A728" s="9"/>
      <c r="B728" s="2"/>
      <c r="C728" s="3"/>
      <c r="D728" s="9"/>
      <c r="E728" s="9"/>
      <c r="F728" s="9"/>
      <c r="G728" s="9"/>
      <c r="H728" s="9"/>
      <c r="I728" s="8"/>
      <c r="J728" s="8"/>
      <c r="K728" s="8"/>
      <c r="L728" s="8"/>
      <c r="M728" s="8"/>
      <c r="N728" s="8"/>
      <c r="O728" s="8"/>
      <c r="P728" s="9"/>
      <c r="Q728" s="9"/>
      <c r="R728" s="9"/>
      <c r="S728" s="8"/>
      <c r="T728" s="8"/>
      <c r="U728" s="8"/>
      <c r="V728" s="8"/>
      <c r="W728" s="8"/>
      <c r="X728" s="8"/>
      <c r="Y728" s="8"/>
      <c r="Z728" s="194"/>
      <c r="AA728" s="194"/>
      <c r="AB728" s="194"/>
      <c r="AC728" s="11"/>
      <c r="AD728" s="11"/>
      <c r="AE728" s="11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3"/>
      <c r="AY728" s="13"/>
      <c r="AZ728" s="13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</row>
    <row r="729" spans="1:63" ht="14.25" customHeight="1" x14ac:dyDescent="0.25">
      <c r="A729" s="9"/>
      <c r="B729" s="2"/>
      <c r="C729" s="3"/>
      <c r="D729" s="9"/>
      <c r="E729" s="9"/>
      <c r="F729" s="9"/>
      <c r="G729" s="9"/>
      <c r="H729" s="9"/>
      <c r="I729" s="8"/>
      <c r="J729" s="8"/>
      <c r="K729" s="8"/>
      <c r="L729" s="8"/>
      <c r="M729" s="8"/>
      <c r="N729" s="8"/>
      <c r="O729" s="8"/>
      <c r="P729" s="9"/>
      <c r="Q729" s="9"/>
      <c r="R729" s="9"/>
      <c r="S729" s="8"/>
      <c r="T729" s="8"/>
      <c r="U729" s="8"/>
      <c r="V729" s="8"/>
      <c r="W729" s="8"/>
      <c r="X729" s="8"/>
      <c r="Y729" s="8"/>
      <c r="Z729" s="194"/>
      <c r="AA729" s="194"/>
      <c r="AB729" s="194"/>
      <c r="AC729" s="11"/>
      <c r="AD729" s="11"/>
      <c r="AE729" s="11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3"/>
      <c r="AY729" s="13"/>
      <c r="AZ729" s="13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</row>
    <row r="730" spans="1:63" ht="14.25" customHeight="1" x14ac:dyDescent="0.25">
      <c r="A730" s="9"/>
      <c r="B730" s="2"/>
      <c r="C730" s="3"/>
      <c r="D730" s="9"/>
      <c r="E730" s="9"/>
      <c r="F730" s="9"/>
      <c r="G730" s="9"/>
      <c r="H730" s="9"/>
      <c r="I730" s="8"/>
      <c r="J730" s="8"/>
      <c r="K730" s="8"/>
      <c r="L730" s="8"/>
      <c r="M730" s="8"/>
      <c r="N730" s="8"/>
      <c r="O730" s="8"/>
      <c r="P730" s="9"/>
      <c r="Q730" s="9"/>
      <c r="R730" s="9"/>
      <c r="S730" s="8"/>
      <c r="T730" s="8"/>
      <c r="U730" s="8"/>
      <c r="V730" s="8"/>
      <c r="W730" s="8"/>
      <c r="X730" s="8"/>
      <c r="Y730" s="8"/>
      <c r="Z730" s="194"/>
      <c r="AA730" s="194"/>
      <c r="AB730" s="194"/>
      <c r="AC730" s="11"/>
      <c r="AD730" s="11"/>
      <c r="AE730" s="11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3"/>
      <c r="AY730" s="13"/>
      <c r="AZ730" s="13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</row>
    <row r="731" spans="1:63" ht="14.25" customHeight="1" x14ac:dyDescent="0.25">
      <c r="A731" s="9"/>
      <c r="B731" s="2"/>
      <c r="C731" s="3"/>
      <c r="D731" s="9"/>
      <c r="E731" s="9"/>
      <c r="F731" s="9"/>
      <c r="G731" s="9"/>
      <c r="H731" s="9"/>
      <c r="I731" s="8"/>
      <c r="J731" s="8"/>
      <c r="K731" s="8"/>
      <c r="L731" s="8"/>
      <c r="M731" s="8"/>
      <c r="N731" s="8"/>
      <c r="O731" s="8"/>
      <c r="P731" s="9"/>
      <c r="Q731" s="9"/>
      <c r="R731" s="9"/>
      <c r="S731" s="8"/>
      <c r="T731" s="8"/>
      <c r="U731" s="8"/>
      <c r="V731" s="8"/>
      <c r="W731" s="8"/>
      <c r="X731" s="8"/>
      <c r="Y731" s="8"/>
      <c r="Z731" s="194"/>
      <c r="AA731" s="194"/>
      <c r="AB731" s="194"/>
      <c r="AC731" s="11"/>
      <c r="AD731" s="11"/>
      <c r="AE731" s="11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3"/>
      <c r="AY731" s="13"/>
      <c r="AZ731" s="13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</row>
    <row r="732" spans="1:63" ht="14.25" customHeight="1" x14ac:dyDescent="0.25">
      <c r="A732" s="9"/>
      <c r="B732" s="2"/>
      <c r="C732" s="3"/>
      <c r="D732" s="9"/>
      <c r="E732" s="9"/>
      <c r="F732" s="9"/>
      <c r="G732" s="9"/>
      <c r="H732" s="9"/>
      <c r="I732" s="8"/>
      <c r="J732" s="8"/>
      <c r="K732" s="8"/>
      <c r="L732" s="8"/>
      <c r="M732" s="8"/>
      <c r="N732" s="8"/>
      <c r="O732" s="8"/>
      <c r="P732" s="9"/>
      <c r="Q732" s="9"/>
      <c r="R732" s="9"/>
      <c r="S732" s="8"/>
      <c r="T732" s="8"/>
      <c r="U732" s="8"/>
      <c r="V732" s="8"/>
      <c r="W732" s="8"/>
      <c r="X732" s="8"/>
      <c r="Y732" s="8"/>
      <c r="Z732" s="194"/>
      <c r="AA732" s="194"/>
      <c r="AB732" s="194"/>
      <c r="AC732" s="11"/>
      <c r="AD732" s="11"/>
      <c r="AE732" s="11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3"/>
      <c r="AY732" s="13"/>
      <c r="AZ732" s="13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</row>
    <row r="733" spans="1:63" ht="14.25" customHeight="1" x14ac:dyDescent="0.25">
      <c r="A733" s="9"/>
      <c r="B733" s="2"/>
      <c r="C733" s="3"/>
      <c r="D733" s="9"/>
      <c r="E733" s="9"/>
      <c r="F733" s="9"/>
      <c r="G733" s="9"/>
      <c r="H733" s="9"/>
      <c r="I733" s="8"/>
      <c r="J733" s="8"/>
      <c r="K733" s="8"/>
      <c r="L733" s="8"/>
      <c r="M733" s="8"/>
      <c r="N733" s="8"/>
      <c r="O733" s="8"/>
      <c r="P733" s="9"/>
      <c r="Q733" s="9"/>
      <c r="R733" s="9"/>
      <c r="S733" s="8"/>
      <c r="T733" s="8"/>
      <c r="U733" s="8"/>
      <c r="V733" s="8"/>
      <c r="W733" s="8"/>
      <c r="X733" s="8"/>
      <c r="Y733" s="8"/>
      <c r="Z733" s="194"/>
      <c r="AA733" s="194"/>
      <c r="AB733" s="194"/>
      <c r="AC733" s="11"/>
      <c r="AD733" s="11"/>
      <c r="AE733" s="11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3"/>
      <c r="AY733" s="13"/>
      <c r="AZ733" s="13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</row>
    <row r="734" spans="1:63" ht="14.25" customHeight="1" x14ac:dyDescent="0.25">
      <c r="A734" s="9"/>
      <c r="B734" s="2"/>
      <c r="C734" s="3"/>
      <c r="D734" s="9"/>
      <c r="E734" s="9"/>
      <c r="F734" s="9"/>
      <c r="G734" s="9"/>
      <c r="H734" s="9"/>
      <c r="I734" s="8"/>
      <c r="J734" s="8"/>
      <c r="K734" s="8"/>
      <c r="L734" s="8"/>
      <c r="M734" s="8"/>
      <c r="N734" s="8"/>
      <c r="O734" s="8"/>
      <c r="P734" s="9"/>
      <c r="Q734" s="9"/>
      <c r="R734" s="9"/>
      <c r="S734" s="8"/>
      <c r="T734" s="8"/>
      <c r="U734" s="8"/>
      <c r="V734" s="8"/>
      <c r="W734" s="8"/>
      <c r="X734" s="8"/>
      <c r="Y734" s="8"/>
      <c r="Z734" s="194"/>
      <c r="AA734" s="194"/>
      <c r="AB734" s="194"/>
      <c r="AC734" s="11"/>
      <c r="AD734" s="11"/>
      <c r="AE734" s="11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3"/>
      <c r="AY734" s="13"/>
      <c r="AZ734" s="13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</row>
    <row r="735" spans="1:63" ht="14.25" customHeight="1" x14ac:dyDescent="0.25">
      <c r="A735" s="9"/>
      <c r="B735" s="2"/>
      <c r="C735" s="3"/>
      <c r="D735" s="9"/>
      <c r="E735" s="9"/>
      <c r="F735" s="9"/>
      <c r="G735" s="9"/>
      <c r="H735" s="9"/>
      <c r="I735" s="8"/>
      <c r="J735" s="8"/>
      <c r="K735" s="8"/>
      <c r="L735" s="8"/>
      <c r="M735" s="8"/>
      <c r="N735" s="8"/>
      <c r="O735" s="8"/>
      <c r="P735" s="9"/>
      <c r="Q735" s="9"/>
      <c r="R735" s="9"/>
      <c r="S735" s="8"/>
      <c r="T735" s="8"/>
      <c r="U735" s="8"/>
      <c r="V735" s="8"/>
      <c r="W735" s="8"/>
      <c r="X735" s="8"/>
      <c r="Y735" s="8"/>
      <c r="Z735" s="194"/>
      <c r="AA735" s="194"/>
      <c r="AB735" s="194"/>
      <c r="AC735" s="11"/>
      <c r="AD735" s="11"/>
      <c r="AE735" s="11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3"/>
      <c r="AY735" s="13"/>
      <c r="AZ735" s="13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</row>
    <row r="736" spans="1:63" ht="14.25" customHeight="1" x14ac:dyDescent="0.25">
      <c r="A736" s="9"/>
      <c r="B736" s="2"/>
      <c r="C736" s="3"/>
      <c r="D736" s="9"/>
      <c r="E736" s="9"/>
      <c r="F736" s="9"/>
      <c r="G736" s="9"/>
      <c r="H736" s="9"/>
      <c r="I736" s="8"/>
      <c r="J736" s="8"/>
      <c r="K736" s="8"/>
      <c r="L736" s="8"/>
      <c r="M736" s="8"/>
      <c r="N736" s="8"/>
      <c r="O736" s="8"/>
      <c r="P736" s="9"/>
      <c r="Q736" s="9"/>
      <c r="R736" s="9"/>
      <c r="S736" s="8"/>
      <c r="T736" s="8"/>
      <c r="U736" s="8"/>
      <c r="V736" s="8"/>
      <c r="W736" s="8"/>
      <c r="X736" s="8"/>
      <c r="Y736" s="8"/>
      <c r="Z736" s="194"/>
      <c r="AA736" s="194"/>
      <c r="AB736" s="194"/>
      <c r="AC736" s="11"/>
      <c r="AD736" s="11"/>
      <c r="AE736" s="11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3"/>
      <c r="AY736" s="13"/>
      <c r="AZ736" s="13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</row>
    <row r="737" spans="1:63" ht="14.25" customHeight="1" x14ac:dyDescent="0.25">
      <c r="A737" s="9"/>
      <c r="B737" s="2"/>
      <c r="C737" s="3"/>
      <c r="D737" s="9"/>
      <c r="E737" s="9"/>
      <c r="F737" s="9"/>
      <c r="G737" s="9"/>
      <c r="H737" s="9"/>
      <c r="I737" s="8"/>
      <c r="J737" s="8"/>
      <c r="K737" s="8"/>
      <c r="L737" s="8"/>
      <c r="M737" s="8"/>
      <c r="N737" s="8"/>
      <c r="O737" s="8"/>
      <c r="P737" s="9"/>
      <c r="Q737" s="9"/>
      <c r="R737" s="9"/>
      <c r="S737" s="8"/>
      <c r="T737" s="8"/>
      <c r="U737" s="8"/>
      <c r="V737" s="8"/>
      <c r="W737" s="8"/>
      <c r="X737" s="8"/>
      <c r="Y737" s="8"/>
      <c r="Z737" s="194"/>
      <c r="AA737" s="194"/>
      <c r="AB737" s="194"/>
      <c r="AC737" s="11"/>
      <c r="AD737" s="11"/>
      <c r="AE737" s="11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3"/>
      <c r="AY737" s="13"/>
      <c r="AZ737" s="13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</row>
    <row r="738" spans="1:63" ht="14.25" customHeight="1" x14ac:dyDescent="0.25">
      <c r="A738" s="9"/>
      <c r="B738" s="2"/>
      <c r="C738" s="3"/>
      <c r="D738" s="9"/>
      <c r="E738" s="9"/>
      <c r="F738" s="9"/>
      <c r="G738" s="9"/>
      <c r="H738" s="9"/>
      <c r="I738" s="8"/>
      <c r="J738" s="8"/>
      <c r="K738" s="8"/>
      <c r="L738" s="8"/>
      <c r="M738" s="8"/>
      <c r="N738" s="8"/>
      <c r="O738" s="8"/>
      <c r="P738" s="9"/>
      <c r="Q738" s="9"/>
      <c r="R738" s="9"/>
      <c r="S738" s="8"/>
      <c r="T738" s="8"/>
      <c r="U738" s="8"/>
      <c r="V738" s="8"/>
      <c r="W738" s="8"/>
      <c r="X738" s="8"/>
      <c r="Y738" s="8"/>
      <c r="Z738" s="194"/>
      <c r="AA738" s="194"/>
      <c r="AB738" s="194"/>
      <c r="AC738" s="11"/>
      <c r="AD738" s="11"/>
      <c r="AE738" s="11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3"/>
      <c r="AY738" s="13"/>
      <c r="AZ738" s="13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</row>
    <row r="739" spans="1:63" ht="14.25" customHeight="1" x14ac:dyDescent="0.25">
      <c r="A739" s="9"/>
      <c r="B739" s="2"/>
      <c r="C739" s="3"/>
      <c r="D739" s="9"/>
      <c r="E739" s="9"/>
      <c r="F739" s="9"/>
      <c r="G739" s="9"/>
      <c r="H739" s="9"/>
      <c r="I739" s="8"/>
      <c r="J739" s="8"/>
      <c r="K739" s="8"/>
      <c r="L739" s="8"/>
      <c r="M739" s="8"/>
      <c r="N739" s="8"/>
      <c r="O739" s="8"/>
      <c r="P739" s="9"/>
      <c r="Q739" s="9"/>
      <c r="R739" s="9"/>
      <c r="S739" s="8"/>
      <c r="T739" s="8"/>
      <c r="U739" s="8"/>
      <c r="V739" s="8"/>
      <c r="W739" s="8"/>
      <c r="X739" s="8"/>
      <c r="Y739" s="8"/>
      <c r="Z739" s="194"/>
      <c r="AA739" s="194"/>
      <c r="AB739" s="194"/>
      <c r="AC739" s="11"/>
      <c r="AD739" s="11"/>
      <c r="AE739" s="11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3"/>
      <c r="AY739" s="13"/>
      <c r="AZ739" s="13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</row>
    <row r="740" spans="1:63" ht="14.25" customHeight="1" x14ac:dyDescent="0.25">
      <c r="A740" s="9"/>
      <c r="B740" s="2"/>
      <c r="C740" s="3"/>
      <c r="D740" s="9"/>
      <c r="E740" s="9"/>
      <c r="F740" s="9"/>
      <c r="G740" s="9"/>
      <c r="H740" s="9"/>
      <c r="I740" s="8"/>
      <c r="J740" s="8"/>
      <c r="K740" s="8"/>
      <c r="L740" s="8"/>
      <c r="M740" s="8"/>
      <c r="N740" s="8"/>
      <c r="O740" s="8"/>
      <c r="P740" s="9"/>
      <c r="Q740" s="9"/>
      <c r="R740" s="9"/>
      <c r="S740" s="8"/>
      <c r="T740" s="8"/>
      <c r="U740" s="8"/>
      <c r="V740" s="8"/>
      <c r="W740" s="8"/>
      <c r="X740" s="8"/>
      <c r="Y740" s="8"/>
      <c r="Z740" s="194"/>
      <c r="AA740" s="194"/>
      <c r="AB740" s="194"/>
      <c r="AC740" s="11"/>
      <c r="AD740" s="11"/>
      <c r="AE740" s="11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3"/>
      <c r="AY740" s="13"/>
      <c r="AZ740" s="13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</row>
    <row r="741" spans="1:63" ht="14.25" customHeight="1" x14ac:dyDescent="0.25">
      <c r="A741" s="9"/>
      <c r="B741" s="2"/>
      <c r="C741" s="3"/>
      <c r="D741" s="9"/>
      <c r="E741" s="9"/>
      <c r="F741" s="9"/>
      <c r="G741" s="9"/>
      <c r="H741" s="9"/>
      <c r="I741" s="8"/>
      <c r="J741" s="8"/>
      <c r="K741" s="8"/>
      <c r="L741" s="8"/>
      <c r="M741" s="8"/>
      <c r="N741" s="8"/>
      <c r="O741" s="8"/>
      <c r="P741" s="9"/>
      <c r="Q741" s="9"/>
      <c r="R741" s="9"/>
      <c r="S741" s="8"/>
      <c r="T741" s="8"/>
      <c r="U741" s="8"/>
      <c r="V741" s="8"/>
      <c r="W741" s="8"/>
      <c r="X741" s="8"/>
      <c r="Y741" s="8"/>
      <c r="Z741" s="194"/>
      <c r="AA741" s="194"/>
      <c r="AB741" s="194"/>
      <c r="AC741" s="11"/>
      <c r="AD741" s="11"/>
      <c r="AE741" s="11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3"/>
      <c r="AY741" s="13"/>
      <c r="AZ741" s="13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</row>
    <row r="742" spans="1:63" ht="14.25" customHeight="1" x14ac:dyDescent="0.25">
      <c r="A742" s="9"/>
      <c r="B742" s="2"/>
      <c r="C742" s="3"/>
      <c r="D742" s="9"/>
      <c r="E742" s="9"/>
      <c r="F742" s="9"/>
      <c r="G742" s="9"/>
      <c r="H742" s="9"/>
      <c r="I742" s="8"/>
      <c r="J742" s="8"/>
      <c r="K742" s="8"/>
      <c r="L742" s="8"/>
      <c r="M742" s="8"/>
      <c r="N742" s="8"/>
      <c r="O742" s="8"/>
      <c r="P742" s="9"/>
      <c r="Q742" s="9"/>
      <c r="R742" s="9"/>
      <c r="S742" s="8"/>
      <c r="T742" s="8"/>
      <c r="U742" s="8"/>
      <c r="V742" s="8"/>
      <c r="W742" s="8"/>
      <c r="X742" s="8"/>
      <c r="Y742" s="8"/>
      <c r="Z742" s="194"/>
      <c r="AA742" s="194"/>
      <c r="AB742" s="194"/>
      <c r="AC742" s="11"/>
      <c r="AD742" s="11"/>
      <c r="AE742" s="11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3"/>
      <c r="AY742" s="13"/>
      <c r="AZ742" s="13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</row>
    <row r="743" spans="1:63" ht="14.25" customHeight="1" x14ac:dyDescent="0.25">
      <c r="A743" s="9"/>
      <c r="B743" s="2"/>
      <c r="C743" s="3"/>
      <c r="D743" s="9"/>
      <c r="E743" s="9"/>
      <c r="F743" s="9"/>
      <c r="G743" s="9"/>
      <c r="H743" s="9"/>
      <c r="I743" s="8"/>
      <c r="J743" s="8"/>
      <c r="K743" s="8"/>
      <c r="L743" s="8"/>
      <c r="M743" s="8"/>
      <c r="N743" s="8"/>
      <c r="O743" s="8"/>
      <c r="P743" s="9"/>
      <c r="Q743" s="9"/>
      <c r="R743" s="9"/>
      <c r="S743" s="8"/>
      <c r="T743" s="8"/>
      <c r="U743" s="8"/>
      <c r="V743" s="8"/>
      <c r="W743" s="8"/>
      <c r="X743" s="8"/>
      <c r="Y743" s="8"/>
      <c r="Z743" s="194"/>
      <c r="AA743" s="194"/>
      <c r="AB743" s="194"/>
      <c r="AC743" s="11"/>
      <c r="AD743" s="11"/>
      <c r="AE743" s="11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3"/>
      <c r="AY743" s="13"/>
      <c r="AZ743" s="13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</row>
    <row r="744" spans="1:63" ht="14.25" customHeight="1" x14ac:dyDescent="0.25">
      <c r="A744" s="9"/>
      <c r="B744" s="2"/>
      <c r="C744" s="3"/>
      <c r="D744" s="9"/>
      <c r="E744" s="9"/>
      <c r="F744" s="9"/>
      <c r="G744" s="9"/>
      <c r="H744" s="9"/>
      <c r="I744" s="8"/>
      <c r="J744" s="8"/>
      <c r="K744" s="8"/>
      <c r="L744" s="8"/>
      <c r="M744" s="8"/>
      <c r="N744" s="8"/>
      <c r="O744" s="8"/>
      <c r="P744" s="9"/>
      <c r="Q744" s="9"/>
      <c r="R744" s="9"/>
      <c r="S744" s="8"/>
      <c r="T744" s="8"/>
      <c r="U744" s="8"/>
      <c r="V744" s="8"/>
      <c r="W744" s="8"/>
      <c r="X744" s="8"/>
      <c r="Y744" s="8"/>
      <c r="Z744" s="194"/>
      <c r="AA744" s="194"/>
      <c r="AB744" s="194"/>
      <c r="AC744" s="11"/>
      <c r="AD744" s="11"/>
      <c r="AE744" s="11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3"/>
      <c r="AY744" s="13"/>
      <c r="AZ744" s="13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</row>
    <row r="745" spans="1:63" ht="14.25" customHeight="1" x14ac:dyDescent="0.25">
      <c r="A745" s="9"/>
      <c r="B745" s="2"/>
      <c r="C745" s="3"/>
      <c r="D745" s="9"/>
      <c r="E745" s="9"/>
      <c r="F745" s="9"/>
      <c r="G745" s="9"/>
      <c r="H745" s="9"/>
      <c r="I745" s="8"/>
      <c r="J745" s="8"/>
      <c r="K745" s="8"/>
      <c r="L745" s="8"/>
      <c r="M745" s="8"/>
      <c r="N745" s="8"/>
      <c r="O745" s="8"/>
      <c r="P745" s="9"/>
      <c r="Q745" s="9"/>
      <c r="R745" s="9"/>
      <c r="S745" s="8"/>
      <c r="T745" s="8"/>
      <c r="U745" s="8"/>
      <c r="V745" s="8"/>
      <c r="W745" s="8"/>
      <c r="X745" s="8"/>
      <c r="Y745" s="8"/>
      <c r="Z745" s="194"/>
      <c r="AA745" s="194"/>
      <c r="AB745" s="194"/>
      <c r="AC745" s="11"/>
      <c r="AD745" s="11"/>
      <c r="AE745" s="11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3"/>
      <c r="AY745" s="13"/>
      <c r="AZ745" s="13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</row>
    <row r="746" spans="1:63" ht="14.25" customHeight="1" x14ac:dyDescent="0.25">
      <c r="A746" s="9"/>
      <c r="B746" s="2"/>
      <c r="C746" s="3"/>
      <c r="D746" s="9"/>
      <c r="E746" s="9"/>
      <c r="F746" s="9"/>
      <c r="G746" s="9"/>
      <c r="H746" s="9"/>
      <c r="I746" s="8"/>
      <c r="J746" s="8"/>
      <c r="K746" s="8"/>
      <c r="L746" s="8"/>
      <c r="M746" s="8"/>
      <c r="N746" s="8"/>
      <c r="O746" s="8"/>
      <c r="P746" s="9"/>
      <c r="Q746" s="9"/>
      <c r="R746" s="9"/>
      <c r="S746" s="8"/>
      <c r="T746" s="8"/>
      <c r="U746" s="8"/>
      <c r="V746" s="8"/>
      <c r="W746" s="8"/>
      <c r="X746" s="8"/>
      <c r="Y746" s="8"/>
      <c r="Z746" s="194"/>
      <c r="AA746" s="194"/>
      <c r="AB746" s="194"/>
      <c r="AC746" s="11"/>
      <c r="AD746" s="11"/>
      <c r="AE746" s="11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3"/>
      <c r="AY746" s="13"/>
      <c r="AZ746" s="13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</row>
    <row r="747" spans="1:63" ht="14.25" customHeight="1" x14ac:dyDescent="0.25">
      <c r="A747" s="9"/>
      <c r="B747" s="2"/>
      <c r="C747" s="3"/>
      <c r="D747" s="9"/>
      <c r="E747" s="9"/>
      <c r="F747" s="9"/>
      <c r="G747" s="9"/>
      <c r="H747" s="9"/>
      <c r="I747" s="8"/>
      <c r="J747" s="8"/>
      <c r="K747" s="8"/>
      <c r="L747" s="8"/>
      <c r="M747" s="8"/>
      <c r="N747" s="8"/>
      <c r="O747" s="8"/>
      <c r="P747" s="9"/>
      <c r="Q747" s="9"/>
      <c r="R747" s="9"/>
      <c r="S747" s="8"/>
      <c r="T747" s="8"/>
      <c r="U747" s="8"/>
      <c r="V747" s="8"/>
      <c r="W747" s="8"/>
      <c r="X747" s="8"/>
      <c r="Y747" s="8"/>
      <c r="Z747" s="194"/>
      <c r="AA747" s="194"/>
      <c r="AB747" s="194"/>
      <c r="AC747" s="11"/>
      <c r="AD747" s="11"/>
      <c r="AE747" s="11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3"/>
      <c r="AY747" s="13"/>
      <c r="AZ747" s="13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</row>
    <row r="748" spans="1:63" ht="14.25" customHeight="1" x14ac:dyDescent="0.25">
      <c r="A748" s="9"/>
      <c r="B748" s="2"/>
      <c r="C748" s="3"/>
      <c r="D748" s="9"/>
      <c r="E748" s="9"/>
      <c r="F748" s="9"/>
      <c r="G748" s="9"/>
      <c r="H748" s="9"/>
      <c r="I748" s="8"/>
      <c r="J748" s="8"/>
      <c r="K748" s="8"/>
      <c r="L748" s="8"/>
      <c r="M748" s="8"/>
      <c r="N748" s="8"/>
      <c r="O748" s="8"/>
      <c r="P748" s="9"/>
      <c r="Q748" s="9"/>
      <c r="R748" s="9"/>
      <c r="S748" s="8"/>
      <c r="T748" s="8"/>
      <c r="U748" s="8"/>
      <c r="V748" s="8"/>
      <c r="W748" s="8"/>
      <c r="X748" s="8"/>
      <c r="Y748" s="8"/>
      <c r="Z748" s="194"/>
      <c r="AA748" s="194"/>
      <c r="AB748" s="194"/>
      <c r="AC748" s="11"/>
      <c r="AD748" s="11"/>
      <c r="AE748" s="11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3"/>
      <c r="AY748" s="13"/>
      <c r="AZ748" s="13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</row>
    <row r="749" spans="1:63" ht="14.25" customHeight="1" x14ac:dyDescent="0.25">
      <c r="A749" s="9"/>
      <c r="B749" s="2"/>
      <c r="C749" s="3"/>
      <c r="D749" s="9"/>
      <c r="E749" s="9"/>
      <c r="F749" s="9"/>
      <c r="G749" s="9"/>
      <c r="H749" s="9"/>
      <c r="I749" s="8"/>
      <c r="J749" s="8"/>
      <c r="K749" s="8"/>
      <c r="L749" s="8"/>
      <c r="M749" s="8"/>
      <c r="N749" s="8"/>
      <c r="O749" s="8"/>
      <c r="P749" s="9"/>
      <c r="Q749" s="9"/>
      <c r="R749" s="9"/>
      <c r="S749" s="8"/>
      <c r="T749" s="8"/>
      <c r="U749" s="8"/>
      <c r="V749" s="8"/>
      <c r="W749" s="8"/>
      <c r="X749" s="8"/>
      <c r="Y749" s="8"/>
      <c r="Z749" s="194"/>
      <c r="AA749" s="194"/>
      <c r="AB749" s="194"/>
      <c r="AC749" s="11"/>
      <c r="AD749" s="11"/>
      <c r="AE749" s="11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3"/>
      <c r="AY749" s="13"/>
      <c r="AZ749" s="13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</row>
    <row r="750" spans="1:63" ht="14.25" customHeight="1" x14ac:dyDescent="0.25">
      <c r="A750" s="9"/>
      <c r="B750" s="2"/>
      <c r="C750" s="3"/>
      <c r="D750" s="9"/>
      <c r="E750" s="9"/>
      <c r="F750" s="9"/>
      <c r="G750" s="9"/>
      <c r="H750" s="9"/>
      <c r="I750" s="8"/>
      <c r="J750" s="8"/>
      <c r="K750" s="8"/>
      <c r="L750" s="8"/>
      <c r="M750" s="8"/>
      <c r="N750" s="8"/>
      <c r="O750" s="8"/>
      <c r="P750" s="9"/>
      <c r="Q750" s="9"/>
      <c r="R750" s="9"/>
      <c r="S750" s="8"/>
      <c r="T750" s="8"/>
      <c r="U750" s="8"/>
      <c r="V750" s="8"/>
      <c r="W750" s="8"/>
      <c r="X750" s="8"/>
      <c r="Y750" s="8"/>
      <c r="Z750" s="194"/>
      <c r="AA750" s="194"/>
      <c r="AB750" s="194"/>
      <c r="AC750" s="11"/>
      <c r="AD750" s="11"/>
      <c r="AE750" s="11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3"/>
      <c r="AY750" s="13"/>
      <c r="AZ750" s="13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</row>
    <row r="751" spans="1:63" ht="14.25" customHeight="1" x14ac:dyDescent="0.25">
      <c r="A751" s="9"/>
      <c r="B751" s="2"/>
      <c r="C751" s="3"/>
      <c r="D751" s="9"/>
      <c r="E751" s="9"/>
      <c r="F751" s="9"/>
      <c r="G751" s="9"/>
      <c r="H751" s="9"/>
      <c r="I751" s="8"/>
      <c r="J751" s="8"/>
      <c r="K751" s="8"/>
      <c r="L751" s="8"/>
      <c r="M751" s="8"/>
      <c r="N751" s="8"/>
      <c r="O751" s="8"/>
      <c r="P751" s="9"/>
      <c r="Q751" s="9"/>
      <c r="R751" s="9"/>
      <c r="S751" s="8"/>
      <c r="T751" s="8"/>
      <c r="U751" s="8"/>
      <c r="V751" s="8"/>
      <c r="W751" s="8"/>
      <c r="X751" s="8"/>
      <c r="Y751" s="8"/>
      <c r="Z751" s="194"/>
      <c r="AA751" s="194"/>
      <c r="AB751" s="194"/>
      <c r="AC751" s="11"/>
      <c r="AD751" s="11"/>
      <c r="AE751" s="11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3"/>
      <c r="AY751" s="13"/>
      <c r="AZ751" s="13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</row>
    <row r="752" spans="1:63" ht="14.25" customHeight="1" x14ac:dyDescent="0.25">
      <c r="A752" s="9"/>
      <c r="B752" s="2"/>
      <c r="C752" s="3"/>
      <c r="D752" s="9"/>
      <c r="E752" s="9"/>
      <c r="F752" s="9"/>
      <c r="G752" s="9"/>
      <c r="H752" s="9"/>
      <c r="I752" s="8"/>
      <c r="J752" s="8"/>
      <c r="K752" s="8"/>
      <c r="L752" s="8"/>
      <c r="M752" s="8"/>
      <c r="N752" s="8"/>
      <c r="O752" s="8"/>
      <c r="P752" s="9"/>
      <c r="Q752" s="9"/>
      <c r="R752" s="9"/>
      <c r="S752" s="8"/>
      <c r="T752" s="8"/>
      <c r="U752" s="8"/>
      <c r="V752" s="8"/>
      <c r="W752" s="8"/>
      <c r="X752" s="8"/>
      <c r="Y752" s="8"/>
      <c r="Z752" s="194"/>
      <c r="AA752" s="194"/>
      <c r="AB752" s="194"/>
      <c r="AC752" s="11"/>
      <c r="AD752" s="11"/>
      <c r="AE752" s="11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3"/>
      <c r="AY752" s="13"/>
      <c r="AZ752" s="13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</row>
    <row r="753" spans="1:63" ht="14.25" customHeight="1" x14ac:dyDescent="0.25">
      <c r="A753" s="9"/>
      <c r="B753" s="2"/>
      <c r="C753" s="3"/>
      <c r="D753" s="9"/>
      <c r="E753" s="9"/>
      <c r="F753" s="9"/>
      <c r="G753" s="9"/>
      <c r="H753" s="9"/>
      <c r="I753" s="8"/>
      <c r="J753" s="8"/>
      <c r="K753" s="8"/>
      <c r="L753" s="8"/>
      <c r="M753" s="8"/>
      <c r="N753" s="8"/>
      <c r="O753" s="8"/>
      <c r="P753" s="9"/>
      <c r="Q753" s="9"/>
      <c r="R753" s="9"/>
      <c r="S753" s="8"/>
      <c r="T753" s="8"/>
      <c r="U753" s="8"/>
      <c r="V753" s="8"/>
      <c r="W753" s="8"/>
      <c r="X753" s="8"/>
      <c r="Y753" s="8"/>
      <c r="Z753" s="194"/>
      <c r="AA753" s="194"/>
      <c r="AB753" s="194"/>
      <c r="AC753" s="11"/>
      <c r="AD753" s="11"/>
      <c r="AE753" s="11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3"/>
      <c r="AY753" s="13"/>
      <c r="AZ753" s="13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</row>
    <row r="754" spans="1:63" ht="14.25" customHeight="1" x14ac:dyDescent="0.25">
      <c r="A754" s="9"/>
      <c r="B754" s="2"/>
      <c r="C754" s="3"/>
      <c r="D754" s="9"/>
      <c r="E754" s="9"/>
      <c r="F754" s="9"/>
      <c r="G754" s="9"/>
      <c r="H754" s="9"/>
      <c r="I754" s="8"/>
      <c r="J754" s="8"/>
      <c r="K754" s="8"/>
      <c r="L754" s="8"/>
      <c r="M754" s="8"/>
      <c r="N754" s="8"/>
      <c r="O754" s="8"/>
      <c r="P754" s="9"/>
      <c r="Q754" s="9"/>
      <c r="R754" s="9"/>
      <c r="S754" s="8"/>
      <c r="T754" s="8"/>
      <c r="U754" s="8"/>
      <c r="V754" s="8"/>
      <c r="W754" s="8"/>
      <c r="X754" s="8"/>
      <c r="Y754" s="8"/>
      <c r="Z754" s="194"/>
      <c r="AA754" s="194"/>
      <c r="AB754" s="194"/>
      <c r="AC754" s="11"/>
      <c r="AD754" s="11"/>
      <c r="AE754" s="11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3"/>
      <c r="AY754" s="13"/>
      <c r="AZ754" s="13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</row>
    <row r="755" spans="1:63" ht="14.25" customHeight="1" x14ac:dyDescent="0.25">
      <c r="A755" s="9"/>
      <c r="B755" s="2"/>
      <c r="C755" s="3"/>
      <c r="D755" s="9"/>
      <c r="E755" s="9"/>
      <c r="F755" s="9"/>
      <c r="G755" s="9"/>
      <c r="H755" s="9"/>
      <c r="I755" s="8"/>
      <c r="J755" s="8"/>
      <c r="K755" s="8"/>
      <c r="L755" s="8"/>
      <c r="M755" s="8"/>
      <c r="N755" s="8"/>
      <c r="O755" s="8"/>
      <c r="P755" s="9"/>
      <c r="Q755" s="9"/>
      <c r="R755" s="9"/>
      <c r="S755" s="8"/>
      <c r="T755" s="8"/>
      <c r="U755" s="8"/>
      <c r="V755" s="8"/>
      <c r="W755" s="8"/>
      <c r="X755" s="8"/>
      <c r="Y755" s="8"/>
      <c r="Z755" s="194"/>
      <c r="AA755" s="194"/>
      <c r="AB755" s="194"/>
      <c r="AC755" s="11"/>
      <c r="AD755" s="11"/>
      <c r="AE755" s="11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3"/>
      <c r="AY755" s="13"/>
      <c r="AZ755" s="13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</row>
    <row r="756" spans="1:63" ht="14.25" customHeight="1" x14ac:dyDescent="0.25">
      <c r="A756" s="9"/>
      <c r="B756" s="2"/>
      <c r="C756" s="3"/>
      <c r="D756" s="9"/>
      <c r="E756" s="9"/>
      <c r="F756" s="9"/>
      <c r="G756" s="9"/>
      <c r="H756" s="9"/>
      <c r="I756" s="8"/>
      <c r="J756" s="8"/>
      <c r="K756" s="8"/>
      <c r="L756" s="8"/>
      <c r="M756" s="8"/>
      <c r="N756" s="8"/>
      <c r="O756" s="8"/>
      <c r="P756" s="9"/>
      <c r="Q756" s="9"/>
      <c r="R756" s="9"/>
      <c r="S756" s="8"/>
      <c r="T756" s="8"/>
      <c r="U756" s="8"/>
      <c r="V756" s="8"/>
      <c r="W756" s="8"/>
      <c r="X756" s="8"/>
      <c r="Y756" s="8"/>
      <c r="Z756" s="194"/>
      <c r="AA756" s="194"/>
      <c r="AB756" s="194"/>
      <c r="AC756" s="11"/>
      <c r="AD756" s="11"/>
      <c r="AE756" s="11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3"/>
      <c r="AY756" s="13"/>
      <c r="AZ756" s="13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</row>
    <row r="757" spans="1:63" ht="14.25" customHeight="1" x14ac:dyDescent="0.25">
      <c r="A757" s="9"/>
      <c r="B757" s="2"/>
      <c r="C757" s="3"/>
      <c r="D757" s="9"/>
      <c r="E757" s="9"/>
      <c r="F757" s="9"/>
      <c r="G757" s="9"/>
      <c r="H757" s="9"/>
      <c r="I757" s="8"/>
      <c r="J757" s="8"/>
      <c r="K757" s="8"/>
      <c r="L757" s="8"/>
      <c r="M757" s="8"/>
      <c r="N757" s="8"/>
      <c r="O757" s="8"/>
      <c r="P757" s="9"/>
      <c r="Q757" s="9"/>
      <c r="R757" s="9"/>
      <c r="S757" s="8"/>
      <c r="T757" s="8"/>
      <c r="U757" s="8"/>
      <c r="V757" s="8"/>
      <c r="W757" s="8"/>
      <c r="X757" s="8"/>
      <c r="Y757" s="8"/>
      <c r="Z757" s="194"/>
      <c r="AA757" s="194"/>
      <c r="AB757" s="194"/>
      <c r="AC757" s="11"/>
      <c r="AD757" s="11"/>
      <c r="AE757" s="11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3"/>
      <c r="AY757" s="13"/>
      <c r="AZ757" s="13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</row>
    <row r="758" spans="1:63" ht="14.25" customHeight="1" x14ac:dyDescent="0.25">
      <c r="A758" s="9"/>
      <c r="B758" s="2"/>
      <c r="C758" s="3"/>
      <c r="D758" s="9"/>
      <c r="E758" s="9"/>
      <c r="F758" s="9"/>
      <c r="G758" s="9"/>
      <c r="H758" s="9"/>
      <c r="I758" s="8"/>
      <c r="J758" s="8"/>
      <c r="K758" s="8"/>
      <c r="L758" s="8"/>
      <c r="M758" s="8"/>
      <c r="N758" s="8"/>
      <c r="O758" s="8"/>
      <c r="P758" s="9"/>
      <c r="Q758" s="9"/>
      <c r="R758" s="9"/>
      <c r="S758" s="8"/>
      <c r="T758" s="8"/>
      <c r="U758" s="8"/>
      <c r="V758" s="8"/>
      <c r="W758" s="8"/>
      <c r="X758" s="8"/>
      <c r="Y758" s="8"/>
      <c r="Z758" s="194"/>
      <c r="AA758" s="194"/>
      <c r="AB758" s="194"/>
      <c r="AC758" s="11"/>
      <c r="AD758" s="11"/>
      <c r="AE758" s="11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3"/>
      <c r="AY758" s="13"/>
      <c r="AZ758" s="13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</row>
    <row r="759" spans="1:63" ht="14.25" customHeight="1" x14ac:dyDescent="0.25">
      <c r="A759" s="9"/>
      <c r="B759" s="2"/>
      <c r="C759" s="3"/>
      <c r="D759" s="9"/>
      <c r="E759" s="9"/>
      <c r="F759" s="9"/>
      <c r="G759" s="9"/>
      <c r="H759" s="9"/>
      <c r="I759" s="8"/>
      <c r="J759" s="8"/>
      <c r="K759" s="8"/>
      <c r="L759" s="8"/>
      <c r="M759" s="8"/>
      <c r="N759" s="8"/>
      <c r="O759" s="8"/>
      <c r="P759" s="9"/>
      <c r="Q759" s="9"/>
      <c r="R759" s="9"/>
      <c r="S759" s="8"/>
      <c r="T759" s="8"/>
      <c r="U759" s="8"/>
      <c r="V759" s="8"/>
      <c r="W759" s="8"/>
      <c r="X759" s="8"/>
      <c r="Y759" s="8"/>
      <c r="Z759" s="194"/>
      <c r="AA759" s="194"/>
      <c r="AB759" s="194"/>
      <c r="AC759" s="11"/>
      <c r="AD759" s="11"/>
      <c r="AE759" s="11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3"/>
      <c r="AY759" s="13"/>
      <c r="AZ759" s="13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</row>
    <row r="760" spans="1:63" ht="14.25" customHeight="1" x14ac:dyDescent="0.25">
      <c r="A760" s="9"/>
      <c r="B760" s="2"/>
      <c r="C760" s="3"/>
      <c r="D760" s="9"/>
      <c r="E760" s="9"/>
      <c r="F760" s="9"/>
      <c r="G760" s="9"/>
      <c r="H760" s="9"/>
      <c r="I760" s="8"/>
      <c r="J760" s="8"/>
      <c r="K760" s="8"/>
      <c r="L760" s="8"/>
      <c r="M760" s="8"/>
      <c r="N760" s="8"/>
      <c r="O760" s="8"/>
      <c r="P760" s="9"/>
      <c r="Q760" s="9"/>
      <c r="R760" s="9"/>
      <c r="S760" s="8"/>
      <c r="T760" s="8"/>
      <c r="U760" s="8"/>
      <c r="V760" s="8"/>
      <c r="W760" s="8"/>
      <c r="X760" s="8"/>
      <c r="Y760" s="8"/>
      <c r="Z760" s="194"/>
      <c r="AA760" s="194"/>
      <c r="AB760" s="194"/>
      <c r="AC760" s="11"/>
      <c r="AD760" s="11"/>
      <c r="AE760" s="11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3"/>
      <c r="AY760" s="13"/>
      <c r="AZ760" s="13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</row>
    <row r="761" spans="1:63" ht="14.25" customHeight="1" x14ac:dyDescent="0.25">
      <c r="A761" s="9"/>
      <c r="B761" s="2"/>
      <c r="C761" s="3"/>
      <c r="D761" s="9"/>
      <c r="E761" s="9"/>
      <c r="F761" s="9"/>
      <c r="G761" s="9"/>
      <c r="H761" s="9"/>
      <c r="I761" s="8"/>
      <c r="J761" s="8"/>
      <c r="K761" s="8"/>
      <c r="L761" s="8"/>
      <c r="M761" s="8"/>
      <c r="N761" s="8"/>
      <c r="O761" s="8"/>
      <c r="P761" s="9"/>
      <c r="Q761" s="9"/>
      <c r="R761" s="9"/>
      <c r="S761" s="8"/>
      <c r="T761" s="8"/>
      <c r="U761" s="8"/>
      <c r="V761" s="8"/>
      <c r="W761" s="8"/>
      <c r="X761" s="8"/>
      <c r="Y761" s="8"/>
      <c r="Z761" s="194"/>
      <c r="AA761" s="194"/>
      <c r="AB761" s="194"/>
      <c r="AC761" s="11"/>
      <c r="AD761" s="11"/>
      <c r="AE761" s="11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3"/>
      <c r="AY761" s="13"/>
      <c r="AZ761" s="13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</row>
    <row r="762" spans="1:63" ht="14.25" customHeight="1" x14ac:dyDescent="0.25">
      <c r="A762" s="9"/>
      <c r="B762" s="2"/>
      <c r="C762" s="3"/>
      <c r="D762" s="9"/>
      <c r="E762" s="9"/>
      <c r="F762" s="9"/>
      <c r="G762" s="9"/>
      <c r="H762" s="9"/>
      <c r="I762" s="8"/>
      <c r="J762" s="8"/>
      <c r="K762" s="8"/>
      <c r="L762" s="8"/>
      <c r="M762" s="8"/>
      <c r="N762" s="8"/>
      <c r="O762" s="8"/>
      <c r="P762" s="9"/>
      <c r="Q762" s="9"/>
      <c r="R762" s="9"/>
      <c r="S762" s="8"/>
      <c r="T762" s="8"/>
      <c r="U762" s="8"/>
      <c r="V762" s="8"/>
      <c r="W762" s="8"/>
      <c r="X762" s="8"/>
      <c r="Y762" s="8"/>
      <c r="Z762" s="194"/>
      <c r="AA762" s="194"/>
      <c r="AB762" s="194"/>
      <c r="AC762" s="11"/>
      <c r="AD762" s="11"/>
      <c r="AE762" s="11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3"/>
      <c r="AY762" s="13"/>
      <c r="AZ762" s="13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</row>
    <row r="763" spans="1:63" ht="14.25" customHeight="1" x14ac:dyDescent="0.25">
      <c r="A763" s="9"/>
      <c r="B763" s="2"/>
      <c r="C763" s="3"/>
      <c r="D763" s="9"/>
      <c r="E763" s="9"/>
      <c r="F763" s="9"/>
      <c r="G763" s="9"/>
      <c r="H763" s="9"/>
      <c r="I763" s="8"/>
      <c r="J763" s="8"/>
      <c r="K763" s="8"/>
      <c r="L763" s="8"/>
      <c r="M763" s="8"/>
      <c r="N763" s="8"/>
      <c r="O763" s="8"/>
      <c r="P763" s="9"/>
      <c r="Q763" s="9"/>
      <c r="R763" s="9"/>
      <c r="S763" s="8"/>
      <c r="T763" s="8"/>
      <c r="U763" s="8"/>
      <c r="V763" s="8"/>
      <c r="W763" s="8"/>
      <c r="X763" s="8"/>
      <c r="Y763" s="8"/>
      <c r="Z763" s="194"/>
      <c r="AA763" s="194"/>
      <c r="AB763" s="194"/>
      <c r="AC763" s="11"/>
      <c r="AD763" s="11"/>
      <c r="AE763" s="11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3"/>
      <c r="AY763" s="13"/>
      <c r="AZ763" s="13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</row>
    <row r="764" spans="1:63" ht="14.25" customHeight="1" x14ac:dyDescent="0.25">
      <c r="A764" s="9"/>
      <c r="B764" s="2"/>
      <c r="C764" s="3"/>
      <c r="D764" s="9"/>
      <c r="E764" s="9"/>
      <c r="F764" s="9"/>
      <c r="G764" s="9"/>
      <c r="H764" s="9"/>
      <c r="I764" s="8"/>
      <c r="J764" s="8"/>
      <c r="K764" s="8"/>
      <c r="L764" s="8"/>
      <c r="M764" s="8"/>
      <c r="N764" s="8"/>
      <c r="O764" s="8"/>
      <c r="P764" s="9"/>
      <c r="Q764" s="9"/>
      <c r="R764" s="9"/>
      <c r="S764" s="8"/>
      <c r="T764" s="8"/>
      <c r="U764" s="8"/>
      <c r="V764" s="8"/>
      <c r="W764" s="8"/>
      <c r="X764" s="8"/>
      <c r="Y764" s="8"/>
      <c r="Z764" s="194"/>
      <c r="AA764" s="194"/>
      <c r="AB764" s="194"/>
      <c r="AC764" s="11"/>
      <c r="AD764" s="11"/>
      <c r="AE764" s="11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3"/>
      <c r="AY764" s="13"/>
      <c r="AZ764" s="13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</row>
    <row r="765" spans="1:63" ht="14.25" customHeight="1" x14ac:dyDescent="0.25">
      <c r="A765" s="9"/>
      <c r="B765" s="2"/>
      <c r="C765" s="3"/>
      <c r="D765" s="9"/>
      <c r="E765" s="9"/>
      <c r="F765" s="9"/>
      <c r="G765" s="9"/>
      <c r="H765" s="9"/>
      <c r="I765" s="8"/>
      <c r="J765" s="8"/>
      <c r="K765" s="8"/>
      <c r="L765" s="8"/>
      <c r="M765" s="8"/>
      <c r="N765" s="8"/>
      <c r="O765" s="8"/>
      <c r="P765" s="9"/>
      <c r="Q765" s="9"/>
      <c r="R765" s="9"/>
      <c r="S765" s="8"/>
      <c r="T765" s="8"/>
      <c r="U765" s="8"/>
      <c r="V765" s="8"/>
      <c r="W765" s="8"/>
      <c r="X765" s="8"/>
      <c r="Y765" s="8"/>
      <c r="Z765" s="194"/>
      <c r="AA765" s="194"/>
      <c r="AB765" s="194"/>
      <c r="AC765" s="11"/>
      <c r="AD765" s="11"/>
      <c r="AE765" s="11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3"/>
      <c r="AY765" s="13"/>
      <c r="AZ765" s="13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</row>
    <row r="766" spans="1:63" ht="14.25" customHeight="1" x14ac:dyDescent="0.25">
      <c r="A766" s="9"/>
      <c r="B766" s="2"/>
      <c r="C766" s="3"/>
      <c r="D766" s="9"/>
      <c r="E766" s="9"/>
      <c r="F766" s="9"/>
      <c r="G766" s="9"/>
      <c r="H766" s="9"/>
      <c r="I766" s="8"/>
      <c r="J766" s="8"/>
      <c r="K766" s="8"/>
      <c r="L766" s="8"/>
      <c r="M766" s="8"/>
      <c r="N766" s="8"/>
      <c r="O766" s="8"/>
      <c r="P766" s="9"/>
      <c r="Q766" s="9"/>
      <c r="R766" s="9"/>
      <c r="S766" s="8"/>
      <c r="T766" s="8"/>
      <c r="U766" s="8"/>
      <c r="V766" s="8"/>
      <c r="W766" s="8"/>
      <c r="X766" s="8"/>
      <c r="Y766" s="8"/>
      <c r="Z766" s="194"/>
      <c r="AA766" s="194"/>
      <c r="AB766" s="194"/>
      <c r="AC766" s="11"/>
      <c r="AD766" s="11"/>
      <c r="AE766" s="11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3"/>
      <c r="AY766" s="13"/>
      <c r="AZ766" s="13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</row>
    <row r="767" spans="1:63" ht="14.25" customHeight="1" x14ac:dyDescent="0.25">
      <c r="A767" s="9"/>
      <c r="B767" s="2"/>
      <c r="C767" s="3"/>
      <c r="D767" s="9"/>
      <c r="E767" s="9"/>
      <c r="F767" s="9"/>
      <c r="G767" s="9"/>
      <c r="H767" s="9"/>
      <c r="I767" s="8"/>
      <c r="J767" s="8"/>
      <c r="K767" s="8"/>
      <c r="L767" s="8"/>
      <c r="M767" s="8"/>
      <c r="N767" s="8"/>
      <c r="O767" s="8"/>
      <c r="P767" s="9"/>
      <c r="Q767" s="9"/>
      <c r="R767" s="9"/>
      <c r="S767" s="8"/>
      <c r="T767" s="8"/>
      <c r="U767" s="8"/>
      <c r="V767" s="8"/>
      <c r="W767" s="8"/>
      <c r="X767" s="8"/>
      <c r="Y767" s="8"/>
      <c r="Z767" s="194"/>
      <c r="AA767" s="194"/>
      <c r="AB767" s="194"/>
      <c r="AC767" s="11"/>
      <c r="AD767" s="11"/>
      <c r="AE767" s="11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3"/>
      <c r="AY767" s="13"/>
      <c r="AZ767" s="13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</row>
    <row r="768" spans="1:63" ht="14.25" customHeight="1" x14ac:dyDescent="0.25">
      <c r="A768" s="9"/>
      <c r="B768" s="2"/>
      <c r="C768" s="3"/>
      <c r="D768" s="9"/>
      <c r="E768" s="9"/>
      <c r="F768" s="9"/>
      <c r="G768" s="9"/>
      <c r="H768" s="9"/>
      <c r="I768" s="8"/>
      <c r="J768" s="8"/>
      <c r="K768" s="8"/>
      <c r="L768" s="8"/>
      <c r="M768" s="8"/>
      <c r="N768" s="8"/>
      <c r="O768" s="8"/>
      <c r="P768" s="9"/>
      <c r="Q768" s="9"/>
      <c r="R768" s="9"/>
      <c r="S768" s="8"/>
      <c r="T768" s="8"/>
      <c r="U768" s="8"/>
      <c r="V768" s="8"/>
      <c r="W768" s="8"/>
      <c r="X768" s="8"/>
      <c r="Y768" s="8"/>
      <c r="Z768" s="194"/>
      <c r="AA768" s="194"/>
      <c r="AB768" s="194"/>
      <c r="AC768" s="11"/>
      <c r="AD768" s="11"/>
      <c r="AE768" s="11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3"/>
      <c r="AY768" s="13"/>
      <c r="AZ768" s="13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</row>
    <row r="769" spans="1:63" ht="14.25" customHeight="1" x14ac:dyDescent="0.25">
      <c r="A769" s="9"/>
      <c r="B769" s="2"/>
      <c r="C769" s="3"/>
      <c r="D769" s="9"/>
      <c r="E769" s="9"/>
      <c r="F769" s="9"/>
      <c r="G769" s="9"/>
      <c r="H769" s="9"/>
      <c r="I769" s="8"/>
      <c r="J769" s="8"/>
      <c r="K769" s="8"/>
      <c r="L769" s="8"/>
      <c r="M769" s="8"/>
      <c r="N769" s="8"/>
      <c r="O769" s="8"/>
      <c r="P769" s="9"/>
      <c r="Q769" s="9"/>
      <c r="R769" s="9"/>
      <c r="S769" s="8"/>
      <c r="T769" s="8"/>
      <c r="U769" s="8"/>
      <c r="V769" s="8"/>
      <c r="W769" s="8"/>
      <c r="X769" s="8"/>
      <c r="Y769" s="8"/>
      <c r="Z769" s="194"/>
      <c r="AA769" s="194"/>
      <c r="AB769" s="194"/>
      <c r="AC769" s="11"/>
      <c r="AD769" s="11"/>
      <c r="AE769" s="11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3"/>
      <c r="AY769" s="13"/>
      <c r="AZ769" s="13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</row>
    <row r="770" spans="1:63" ht="14.25" customHeight="1" x14ac:dyDescent="0.25">
      <c r="A770" s="9"/>
      <c r="B770" s="2"/>
      <c r="C770" s="3"/>
      <c r="D770" s="9"/>
      <c r="E770" s="9"/>
      <c r="F770" s="9"/>
      <c r="G770" s="9"/>
      <c r="H770" s="9"/>
      <c r="I770" s="8"/>
      <c r="J770" s="8"/>
      <c r="K770" s="8"/>
      <c r="L770" s="8"/>
      <c r="M770" s="8"/>
      <c r="N770" s="8"/>
      <c r="O770" s="8"/>
      <c r="P770" s="9"/>
      <c r="Q770" s="9"/>
      <c r="R770" s="9"/>
      <c r="S770" s="8"/>
      <c r="T770" s="8"/>
      <c r="U770" s="8"/>
      <c r="V770" s="8"/>
      <c r="W770" s="8"/>
      <c r="X770" s="8"/>
      <c r="Y770" s="8"/>
      <c r="Z770" s="194"/>
      <c r="AA770" s="194"/>
      <c r="AB770" s="194"/>
      <c r="AC770" s="11"/>
      <c r="AD770" s="11"/>
      <c r="AE770" s="11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3"/>
      <c r="AY770" s="13"/>
      <c r="AZ770" s="13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</row>
    <row r="771" spans="1:63" ht="14.25" customHeight="1" x14ac:dyDescent="0.25">
      <c r="A771" s="9"/>
      <c r="B771" s="2"/>
      <c r="C771" s="3"/>
      <c r="D771" s="9"/>
      <c r="E771" s="9"/>
      <c r="F771" s="9"/>
      <c r="G771" s="9"/>
      <c r="H771" s="9"/>
      <c r="I771" s="8"/>
      <c r="J771" s="8"/>
      <c r="K771" s="8"/>
      <c r="L771" s="8"/>
      <c r="M771" s="8"/>
      <c r="N771" s="8"/>
      <c r="O771" s="8"/>
      <c r="P771" s="9"/>
      <c r="Q771" s="9"/>
      <c r="R771" s="9"/>
      <c r="S771" s="8"/>
      <c r="T771" s="8"/>
      <c r="U771" s="8"/>
      <c r="V771" s="8"/>
      <c r="W771" s="8"/>
      <c r="X771" s="8"/>
      <c r="Y771" s="8"/>
      <c r="Z771" s="194"/>
      <c r="AA771" s="194"/>
      <c r="AB771" s="194"/>
      <c r="AC771" s="11"/>
      <c r="AD771" s="11"/>
      <c r="AE771" s="11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3"/>
      <c r="AY771" s="13"/>
      <c r="AZ771" s="13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</row>
    <row r="772" spans="1:63" ht="14.25" customHeight="1" x14ac:dyDescent="0.25">
      <c r="A772" s="9"/>
      <c r="B772" s="2"/>
      <c r="C772" s="3"/>
      <c r="D772" s="9"/>
      <c r="E772" s="9"/>
      <c r="F772" s="9"/>
      <c r="G772" s="9"/>
      <c r="H772" s="9"/>
      <c r="I772" s="8"/>
      <c r="J772" s="8"/>
      <c r="K772" s="8"/>
      <c r="L772" s="8"/>
      <c r="M772" s="8"/>
      <c r="N772" s="8"/>
      <c r="O772" s="8"/>
      <c r="P772" s="9"/>
      <c r="Q772" s="9"/>
      <c r="R772" s="9"/>
      <c r="S772" s="8"/>
      <c r="T772" s="8"/>
      <c r="U772" s="8"/>
      <c r="V772" s="8"/>
      <c r="W772" s="8"/>
      <c r="X772" s="8"/>
      <c r="Y772" s="8"/>
      <c r="Z772" s="194"/>
      <c r="AA772" s="194"/>
      <c r="AB772" s="194"/>
      <c r="AC772" s="11"/>
      <c r="AD772" s="11"/>
      <c r="AE772" s="11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3"/>
      <c r="AY772" s="13"/>
      <c r="AZ772" s="13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</row>
    <row r="773" spans="1:63" ht="14.25" customHeight="1" x14ac:dyDescent="0.25">
      <c r="A773" s="9"/>
      <c r="B773" s="2"/>
      <c r="C773" s="3"/>
      <c r="D773" s="9"/>
      <c r="E773" s="9"/>
      <c r="F773" s="9"/>
      <c r="G773" s="9"/>
      <c r="H773" s="9"/>
      <c r="I773" s="8"/>
      <c r="J773" s="8"/>
      <c r="K773" s="8"/>
      <c r="L773" s="8"/>
      <c r="M773" s="8"/>
      <c r="N773" s="8"/>
      <c r="O773" s="8"/>
      <c r="P773" s="9"/>
      <c r="Q773" s="9"/>
      <c r="R773" s="9"/>
      <c r="S773" s="8"/>
      <c r="T773" s="8"/>
      <c r="U773" s="8"/>
      <c r="V773" s="8"/>
      <c r="W773" s="8"/>
      <c r="X773" s="8"/>
      <c r="Y773" s="8"/>
      <c r="Z773" s="194"/>
      <c r="AA773" s="194"/>
      <c r="AB773" s="194"/>
      <c r="AC773" s="11"/>
      <c r="AD773" s="11"/>
      <c r="AE773" s="11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3"/>
      <c r="AY773" s="13"/>
      <c r="AZ773" s="13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</row>
    <row r="774" spans="1:63" ht="14.25" customHeight="1" x14ac:dyDescent="0.25">
      <c r="A774" s="9"/>
      <c r="B774" s="2"/>
      <c r="C774" s="3"/>
      <c r="D774" s="9"/>
      <c r="E774" s="9"/>
      <c r="F774" s="9"/>
      <c r="G774" s="9"/>
      <c r="H774" s="9"/>
      <c r="I774" s="8"/>
      <c r="J774" s="8"/>
      <c r="K774" s="8"/>
      <c r="L774" s="8"/>
      <c r="M774" s="8"/>
      <c r="N774" s="8"/>
      <c r="O774" s="8"/>
      <c r="P774" s="9"/>
      <c r="Q774" s="9"/>
      <c r="R774" s="9"/>
      <c r="S774" s="8"/>
      <c r="T774" s="8"/>
      <c r="U774" s="8"/>
      <c r="V774" s="8"/>
      <c r="W774" s="8"/>
      <c r="X774" s="8"/>
      <c r="Y774" s="8"/>
      <c r="Z774" s="194"/>
      <c r="AA774" s="194"/>
      <c r="AB774" s="194"/>
      <c r="AC774" s="11"/>
      <c r="AD774" s="11"/>
      <c r="AE774" s="11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3"/>
      <c r="AY774" s="13"/>
      <c r="AZ774" s="13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</row>
    <row r="775" spans="1:63" ht="14.25" customHeight="1" x14ac:dyDescent="0.25">
      <c r="A775" s="9"/>
      <c r="B775" s="2"/>
      <c r="C775" s="3"/>
      <c r="D775" s="9"/>
      <c r="E775" s="9"/>
      <c r="F775" s="9"/>
      <c r="G775" s="9"/>
      <c r="H775" s="9"/>
      <c r="I775" s="8"/>
      <c r="J775" s="8"/>
      <c r="K775" s="8"/>
      <c r="L775" s="8"/>
      <c r="M775" s="8"/>
      <c r="N775" s="8"/>
      <c r="O775" s="8"/>
      <c r="P775" s="9"/>
      <c r="Q775" s="9"/>
      <c r="R775" s="9"/>
      <c r="S775" s="8"/>
      <c r="T775" s="8"/>
      <c r="U775" s="8"/>
      <c r="V775" s="8"/>
      <c r="W775" s="8"/>
      <c r="X775" s="8"/>
      <c r="Y775" s="8"/>
      <c r="Z775" s="194"/>
      <c r="AA775" s="194"/>
      <c r="AB775" s="194"/>
      <c r="AC775" s="11"/>
      <c r="AD775" s="11"/>
      <c r="AE775" s="11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3"/>
      <c r="AY775" s="13"/>
      <c r="AZ775" s="13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</row>
    <row r="776" spans="1:63" ht="14.25" customHeight="1" x14ac:dyDescent="0.25">
      <c r="A776" s="9"/>
      <c r="B776" s="2"/>
      <c r="C776" s="3"/>
      <c r="D776" s="9"/>
      <c r="E776" s="9"/>
      <c r="F776" s="9"/>
      <c r="G776" s="9"/>
      <c r="H776" s="9"/>
      <c r="I776" s="8"/>
      <c r="J776" s="8"/>
      <c r="K776" s="8"/>
      <c r="L776" s="8"/>
      <c r="M776" s="8"/>
      <c r="N776" s="8"/>
      <c r="O776" s="8"/>
      <c r="P776" s="9"/>
      <c r="Q776" s="9"/>
      <c r="R776" s="9"/>
      <c r="S776" s="8"/>
      <c r="T776" s="8"/>
      <c r="U776" s="8"/>
      <c r="V776" s="8"/>
      <c r="W776" s="8"/>
      <c r="X776" s="8"/>
      <c r="Y776" s="8"/>
      <c r="Z776" s="194"/>
      <c r="AA776" s="194"/>
      <c r="AB776" s="194"/>
      <c r="AC776" s="11"/>
      <c r="AD776" s="11"/>
      <c r="AE776" s="11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3"/>
      <c r="AY776" s="13"/>
      <c r="AZ776" s="13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</row>
    <row r="777" spans="1:63" ht="14.25" customHeight="1" x14ac:dyDescent="0.25">
      <c r="A777" s="9"/>
      <c r="B777" s="2"/>
      <c r="C777" s="3"/>
      <c r="D777" s="9"/>
      <c r="E777" s="9"/>
      <c r="F777" s="9"/>
      <c r="G777" s="9"/>
      <c r="H777" s="9"/>
      <c r="I777" s="8"/>
      <c r="J777" s="8"/>
      <c r="K777" s="8"/>
      <c r="L777" s="8"/>
      <c r="M777" s="8"/>
      <c r="N777" s="8"/>
      <c r="O777" s="8"/>
      <c r="P777" s="9"/>
      <c r="Q777" s="9"/>
      <c r="R777" s="9"/>
      <c r="S777" s="8"/>
      <c r="T777" s="8"/>
      <c r="U777" s="8"/>
      <c r="V777" s="8"/>
      <c r="W777" s="8"/>
      <c r="X777" s="8"/>
      <c r="Y777" s="8"/>
      <c r="Z777" s="194"/>
      <c r="AA777" s="194"/>
      <c r="AB777" s="194"/>
      <c r="AC777" s="11"/>
      <c r="AD777" s="11"/>
      <c r="AE777" s="11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3"/>
      <c r="AY777" s="13"/>
      <c r="AZ777" s="13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</row>
    <row r="778" spans="1:63" ht="14.25" customHeight="1" x14ac:dyDescent="0.25">
      <c r="A778" s="9"/>
      <c r="B778" s="2"/>
      <c r="C778" s="3"/>
      <c r="D778" s="9"/>
      <c r="E778" s="9"/>
      <c r="F778" s="9"/>
      <c r="G778" s="9"/>
      <c r="H778" s="9"/>
      <c r="I778" s="8"/>
      <c r="J778" s="8"/>
      <c r="K778" s="8"/>
      <c r="L778" s="8"/>
      <c r="M778" s="8"/>
      <c r="N778" s="8"/>
      <c r="O778" s="8"/>
      <c r="P778" s="9"/>
      <c r="Q778" s="9"/>
      <c r="R778" s="9"/>
      <c r="S778" s="8"/>
      <c r="T778" s="8"/>
      <c r="U778" s="8"/>
      <c r="V778" s="8"/>
      <c r="W778" s="8"/>
      <c r="X778" s="8"/>
      <c r="Y778" s="8"/>
      <c r="Z778" s="194"/>
      <c r="AA778" s="194"/>
      <c r="AB778" s="194"/>
      <c r="AC778" s="11"/>
      <c r="AD778" s="11"/>
      <c r="AE778" s="11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3"/>
      <c r="AY778" s="13"/>
      <c r="AZ778" s="13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</row>
    <row r="779" spans="1:63" ht="14.25" customHeight="1" x14ac:dyDescent="0.25">
      <c r="A779" s="9"/>
      <c r="B779" s="2"/>
      <c r="C779" s="3"/>
      <c r="D779" s="9"/>
      <c r="E779" s="9"/>
      <c r="F779" s="9"/>
      <c r="G779" s="9"/>
      <c r="H779" s="9"/>
      <c r="I779" s="8"/>
      <c r="J779" s="8"/>
      <c r="K779" s="8"/>
      <c r="L779" s="8"/>
      <c r="M779" s="8"/>
      <c r="N779" s="8"/>
      <c r="O779" s="8"/>
      <c r="P779" s="9"/>
      <c r="Q779" s="9"/>
      <c r="R779" s="9"/>
      <c r="S779" s="8"/>
      <c r="T779" s="8"/>
      <c r="U779" s="8"/>
      <c r="V779" s="8"/>
      <c r="W779" s="8"/>
      <c r="X779" s="8"/>
      <c r="Y779" s="8"/>
      <c r="Z779" s="194"/>
      <c r="AA779" s="194"/>
      <c r="AB779" s="194"/>
      <c r="AC779" s="11"/>
      <c r="AD779" s="11"/>
      <c r="AE779" s="11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3"/>
      <c r="AY779" s="13"/>
      <c r="AZ779" s="13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</row>
    <row r="780" spans="1:63" ht="14.25" customHeight="1" x14ac:dyDescent="0.25">
      <c r="A780" s="9"/>
      <c r="B780" s="2"/>
      <c r="C780" s="3"/>
      <c r="D780" s="9"/>
      <c r="E780" s="9"/>
      <c r="F780" s="9"/>
      <c r="G780" s="9"/>
      <c r="H780" s="9"/>
      <c r="I780" s="8"/>
      <c r="J780" s="8"/>
      <c r="K780" s="8"/>
      <c r="L780" s="8"/>
      <c r="M780" s="8"/>
      <c r="N780" s="8"/>
      <c r="O780" s="8"/>
      <c r="P780" s="9"/>
      <c r="Q780" s="9"/>
      <c r="R780" s="9"/>
      <c r="S780" s="8"/>
      <c r="T780" s="8"/>
      <c r="U780" s="8"/>
      <c r="V780" s="8"/>
      <c r="W780" s="8"/>
      <c r="X780" s="8"/>
      <c r="Y780" s="8"/>
      <c r="Z780" s="194"/>
      <c r="AA780" s="194"/>
      <c r="AB780" s="194"/>
      <c r="AC780" s="11"/>
      <c r="AD780" s="11"/>
      <c r="AE780" s="11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3"/>
      <c r="AY780" s="13"/>
      <c r="AZ780" s="13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</row>
    <row r="781" spans="1:63" ht="14.25" customHeight="1" x14ac:dyDescent="0.25">
      <c r="A781" s="9"/>
      <c r="B781" s="2"/>
      <c r="C781" s="3"/>
      <c r="D781" s="9"/>
      <c r="E781" s="9"/>
      <c r="F781" s="9"/>
      <c r="G781" s="9"/>
      <c r="H781" s="9"/>
      <c r="I781" s="8"/>
      <c r="J781" s="8"/>
      <c r="K781" s="8"/>
      <c r="L781" s="8"/>
      <c r="M781" s="8"/>
      <c r="N781" s="8"/>
      <c r="O781" s="8"/>
      <c r="P781" s="9"/>
      <c r="Q781" s="9"/>
      <c r="R781" s="9"/>
      <c r="S781" s="8"/>
      <c r="T781" s="8"/>
      <c r="U781" s="8"/>
      <c r="V781" s="8"/>
      <c r="W781" s="8"/>
      <c r="X781" s="8"/>
      <c r="Y781" s="8"/>
      <c r="Z781" s="194"/>
      <c r="AA781" s="194"/>
      <c r="AB781" s="194"/>
      <c r="AC781" s="11"/>
      <c r="AD781" s="11"/>
      <c r="AE781" s="11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3"/>
      <c r="AY781" s="13"/>
      <c r="AZ781" s="13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</row>
    <row r="782" spans="1:63" ht="14.25" customHeight="1" x14ac:dyDescent="0.25">
      <c r="A782" s="9"/>
      <c r="B782" s="2"/>
      <c r="C782" s="3"/>
      <c r="D782" s="9"/>
      <c r="E782" s="9"/>
      <c r="F782" s="9"/>
      <c r="G782" s="9"/>
      <c r="H782" s="9"/>
      <c r="I782" s="8"/>
      <c r="J782" s="8"/>
      <c r="K782" s="8"/>
      <c r="L782" s="8"/>
      <c r="M782" s="8"/>
      <c r="N782" s="8"/>
      <c r="O782" s="8"/>
      <c r="P782" s="9"/>
      <c r="Q782" s="9"/>
      <c r="R782" s="9"/>
      <c r="S782" s="8"/>
      <c r="T782" s="8"/>
      <c r="U782" s="8"/>
      <c r="V782" s="8"/>
      <c r="W782" s="8"/>
      <c r="X782" s="8"/>
      <c r="Y782" s="8"/>
      <c r="Z782" s="194"/>
      <c r="AA782" s="194"/>
      <c r="AB782" s="194"/>
      <c r="AC782" s="11"/>
      <c r="AD782" s="11"/>
      <c r="AE782" s="11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3"/>
      <c r="AY782" s="13"/>
      <c r="AZ782" s="13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</row>
    <row r="783" spans="1:63" ht="14.25" customHeight="1" x14ac:dyDescent="0.25">
      <c r="A783" s="9"/>
      <c r="B783" s="2"/>
      <c r="C783" s="3"/>
      <c r="D783" s="9"/>
      <c r="E783" s="9"/>
      <c r="F783" s="9"/>
      <c r="G783" s="9"/>
      <c r="H783" s="9"/>
      <c r="I783" s="8"/>
      <c r="J783" s="8"/>
      <c r="K783" s="8"/>
      <c r="L783" s="8"/>
      <c r="M783" s="8"/>
      <c r="N783" s="8"/>
      <c r="O783" s="8"/>
      <c r="P783" s="9"/>
      <c r="Q783" s="9"/>
      <c r="R783" s="9"/>
      <c r="S783" s="8"/>
      <c r="T783" s="8"/>
      <c r="U783" s="8"/>
      <c r="V783" s="8"/>
      <c r="W783" s="8"/>
      <c r="X783" s="8"/>
      <c r="Y783" s="8"/>
      <c r="Z783" s="194"/>
      <c r="AA783" s="194"/>
      <c r="AB783" s="194"/>
      <c r="AC783" s="11"/>
      <c r="AD783" s="11"/>
      <c r="AE783" s="11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3"/>
      <c r="AY783" s="13"/>
      <c r="AZ783" s="13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</row>
    <row r="784" spans="1:63" ht="14.25" customHeight="1" x14ac:dyDescent="0.25">
      <c r="A784" s="9"/>
      <c r="B784" s="2"/>
      <c r="C784" s="3"/>
      <c r="D784" s="9"/>
      <c r="E784" s="9"/>
      <c r="F784" s="9"/>
      <c r="G784" s="9"/>
      <c r="H784" s="9"/>
      <c r="I784" s="8"/>
      <c r="J784" s="8"/>
      <c r="K784" s="8"/>
      <c r="L784" s="8"/>
      <c r="M784" s="8"/>
      <c r="N784" s="8"/>
      <c r="O784" s="8"/>
      <c r="P784" s="9"/>
      <c r="Q784" s="9"/>
      <c r="R784" s="9"/>
      <c r="S784" s="8"/>
      <c r="T784" s="8"/>
      <c r="U784" s="8"/>
      <c r="V784" s="8"/>
      <c r="W784" s="8"/>
      <c r="X784" s="8"/>
      <c r="Y784" s="8"/>
      <c r="Z784" s="194"/>
      <c r="AA784" s="194"/>
      <c r="AB784" s="194"/>
      <c r="AC784" s="11"/>
      <c r="AD784" s="11"/>
      <c r="AE784" s="11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3"/>
      <c r="AY784" s="13"/>
      <c r="AZ784" s="13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</row>
    <row r="785" spans="1:63" ht="14.25" customHeight="1" x14ac:dyDescent="0.25">
      <c r="A785" s="9"/>
      <c r="B785" s="2"/>
      <c r="C785" s="3"/>
      <c r="D785" s="9"/>
      <c r="E785" s="9"/>
      <c r="F785" s="9"/>
      <c r="G785" s="9"/>
      <c r="H785" s="9"/>
      <c r="I785" s="8"/>
      <c r="J785" s="8"/>
      <c r="K785" s="8"/>
      <c r="L785" s="8"/>
      <c r="M785" s="8"/>
      <c r="N785" s="8"/>
      <c r="O785" s="8"/>
      <c r="P785" s="9"/>
      <c r="Q785" s="9"/>
      <c r="R785" s="9"/>
      <c r="S785" s="8"/>
      <c r="T785" s="8"/>
      <c r="U785" s="8"/>
      <c r="V785" s="8"/>
      <c r="W785" s="8"/>
      <c r="X785" s="8"/>
      <c r="Y785" s="8"/>
      <c r="Z785" s="194"/>
      <c r="AA785" s="194"/>
      <c r="AB785" s="194"/>
      <c r="AC785" s="11"/>
      <c r="AD785" s="11"/>
      <c r="AE785" s="11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3"/>
      <c r="AY785" s="13"/>
      <c r="AZ785" s="13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</row>
    <row r="786" spans="1:63" ht="14.25" customHeight="1" x14ac:dyDescent="0.25">
      <c r="A786" s="9"/>
      <c r="B786" s="2"/>
      <c r="C786" s="3"/>
      <c r="D786" s="9"/>
      <c r="E786" s="9"/>
      <c r="F786" s="9"/>
      <c r="G786" s="9"/>
      <c r="H786" s="9"/>
      <c r="I786" s="8"/>
      <c r="J786" s="8"/>
      <c r="K786" s="8"/>
      <c r="L786" s="8"/>
      <c r="M786" s="8"/>
      <c r="N786" s="8"/>
      <c r="O786" s="8"/>
      <c r="P786" s="9"/>
      <c r="Q786" s="9"/>
      <c r="R786" s="9"/>
      <c r="S786" s="8"/>
      <c r="T786" s="8"/>
      <c r="U786" s="8"/>
      <c r="V786" s="8"/>
      <c r="W786" s="8"/>
      <c r="X786" s="8"/>
      <c r="Y786" s="8"/>
      <c r="Z786" s="194"/>
      <c r="AA786" s="194"/>
      <c r="AB786" s="194"/>
      <c r="AC786" s="11"/>
      <c r="AD786" s="11"/>
      <c r="AE786" s="11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3"/>
      <c r="AY786" s="13"/>
      <c r="AZ786" s="13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</row>
    <row r="787" spans="1:63" ht="14.25" customHeight="1" x14ac:dyDescent="0.25">
      <c r="A787" s="9"/>
      <c r="B787" s="2"/>
      <c r="C787" s="3"/>
      <c r="D787" s="9"/>
      <c r="E787" s="9"/>
      <c r="F787" s="9"/>
      <c r="G787" s="9"/>
      <c r="H787" s="9"/>
      <c r="I787" s="8"/>
      <c r="J787" s="8"/>
      <c r="K787" s="8"/>
      <c r="L787" s="8"/>
      <c r="M787" s="8"/>
      <c r="N787" s="8"/>
      <c r="O787" s="8"/>
      <c r="P787" s="9"/>
      <c r="Q787" s="9"/>
      <c r="R787" s="9"/>
      <c r="S787" s="8"/>
      <c r="T787" s="8"/>
      <c r="U787" s="8"/>
      <c r="V787" s="8"/>
      <c r="W787" s="8"/>
      <c r="X787" s="8"/>
      <c r="Y787" s="8"/>
      <c r="Z787" s="194"/>
      <c r="AA787" s="194"/>
      <c r="AB787" s="194"/>
      <c r="AC787" s="11"/>
      <c r="AD787" s="11"/>
      <c r="AE787" s="11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3"/>
      <c r="AY787" s="13"/>
      <c r="AZ787" s="13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</row>
    <row r="788" spans="1:63" ht="14.25" customHeight="1" x14ac:dyDescent="0.25">
      <c r="A788" s="9"/>
      <c r="B788" s="2"/>
      <c r="C788" s="3"/>
      <c r="D788" s="9"/>
      <c r="E788" s="9"/>
      <c r="F788" s="9"/>
      <c r="G788" s="9"/>
      <c r="H788" s="9"/>
      <c r="I788" s="8"/>
      <c r="J788" s="8"/>
      <c r="K788" s="8"/>
      <c r="L788" s="8"/>
      <c r="M788" s="8"/>
      <c r="N788" s="8"/>
      <c r="O788" s="8"/>
      <c r="P788" s="9"/>
      <c r="Q788" s="9"/>
      <c r="R788" s="9"/>
      <c r="S788" s="8"/>
      <c r="T788" s="8"/>
      <c r="U788" s="8"/>
      <c r="V788" s="8"/>
      <c r="W788" s="8"/>
      <c r="X788" s="8"/>
      <c r="Y788" s="8"/>
      <c r="Z788" s="194"/>
      <c r="AA788" s="194"/>
      <c r="AB788" s="194"/>
      <c r="AC788" s="11"/>
      <c r="AD788" s="11"/>
      <c r="AE788" s="11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3"/>
      <c r="AY788" s="13"/>
      <c r="AZ788" s="13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</row>
    <row r="789" spans="1:63" ht="14.25" customHeight="1" x14ac:dyDescent="0.25">
      <c r="A789" s="9"/>
      <c r="B789" s="2"/>
      <c r="C789" s="3"/>
      <c r="D789" s="9"/>
      <c r="E789" s="9"/>
      <c r="F789" s="9"/>
      <c r="G789" s="9"/>
      <c r="H789" s="9"/>
      <c r="I789" s="8"/>
      <c r="J789" s="8"/>
      <c r="K789" s="8"/>
      <c r="L789" s="8"/>
      <c r="M789" s="8"/>
      <c r="N789" s="8"/>
      <c r="O789" s="8"/>
      <c r="P789" s="9"/>
      <c r="Q789" s="9"/>
      <c r="R789" s="9"/>
      <c r="S789" s="8"/>
      <c r="T789" s="8"/>
      <c r="U789" s="8"/>
      <c r="V789" s="8"/>
      <c r="W789" s="8"/>
      <c r="X789" s="8"/>
      <c r="Y789" s="8"/>
      <c r="Z789" s="194"/>
      <c r="AA789" s="194"/>
      <c r="AB789" s="194"/>
      <c r="AC789" s="11"/>
      <c r="AD789" s="11"/>
      <c r="AE789" s="11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3"/>
      <c r="AY789" s="13"/>
      <c r="AZ789" s="13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</row>
    <row r="790" spans="1:63" ht="14.25" customHeight="1" x14ac:dyDescent="0.25">
      <c r="A790" s="9"/>
      <c r="B790" s="2"/>
      <c r="C790" s="3"/>
      <c r="D790" s="9"/>
      <c r="E790" s="9"/>
      <c r="F790" s="9"/>
      <c r="G790" s="9"/>
      <c r="H790" s="9"/>
      <c r="I790" s="8"/>
      <c r="J790" s="8"/>
      <c r="K790" s="8"/>
      <c r="L790" s="8"/>
      <c r="M790" s="8"/>
      <c r="N790" s="8"/>
      <c r="O790" s="8"/>
      <c r="P790" s="9"/>
      <c r="Q790" s="9"/>
      <c r="R790" s="9"/>
      <c r="S790" s="8"/>
      <c r="T790" s="8"/>
      <c r="U790" s="8"/>
      <c r="V790" s="8"/>
      <c r="W790" s="8"/>
      <c r="X790" s="8"/>
      <c r="Y790" s="8"/>
      <c r="Z790" s="194"/>
      <c r="AA790" s="194"/>
      <c r="AB790" s="194"/>
      <c r="AC790" s="11"/>
      <c r="AD790" s="11"/>
      <c r="AE790" s="11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3"/>
      <c r="AY790" s="13"/>
      <c r="AZ790" s="13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</row>
    <row r="791" spans="1:63" ht="14.25" customHeight="1" x14ac:dyDescent="0.25">
      <c r="A791" s="9"/>
      <c r="B791" s="2"/>
      <c r="C791" s="3"/>
      <c r="D791" s="9"/>
      <c r="E791" s="9"/>
      <c r="F791" s="9"/>
      <c r="G791" s="9"/>
      <c r="H791" s="9"/>
      <c r="I791" s="8"/>
      <c r="J791" s="8"/>
      <c r="K791" s="8"/>
      <c r="L791" s="8"/>
      <c r="M791" s="8"/>
      <c r="N791" s="8"/>
      <c r="O791" s="8"/>
      <c r="P791" s="9"/>
      <c r="Q791" s="9"/>
      <c r="R791" s="9"/>
      <c r="S791" s="8"/>
      <c r="T791" s="8"/>
      <c r="U791" s="8"/>
      <c r="V791" s="8"/>
      <c r="W791" s="8"/>
      <c r="X791" s="8"/>
      <c r="Y791" s="8"/>
      <c r="Z791" s="194"/>
      <c r="AA791" s="194"/>
      <c r="AB791" s="194"/>
      <c r="AC791" s="11"/>
      <c r="AD791" s="11"/>
      <c r="AE791" s="11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3"/>
      <c r="AY791" s="13"/>
      <c r="AZ791" s="13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</row>
    <row r="792" spans="1:63" ht="14.25" customHeight="1" x14ac:dyDescent="0.25">
      <c r="A792" s="9"/>
      <c r="B792" s="2"/>
      <c r="C792" s="3"/>
      <c r="D792" s="9"/>
      <c r="E792" s="9"/>
      <c r="F792" s="9"/>
      <c r="G792" s="9"/>
      <c r="H792" s="9"/>
      <c r="I792" s="8"/>
      <c r="J792" s="8"/>
      <c r="K792" s="8"/>
      <c r="L792" s="8"/>
      <c r="M792" s="8"/>
      <c r="N792" s="8"/>
      <c r="O792" s="8"/>
      <c r="P792" s="9"/>
      <c r="Q792" s="9"/>
      <c r="R792" s="9"/>
      <c r="S792" s="8"/>
      <c r="T792" s="8"/>
      <c r="U792" s="8"/>
      <c r="V792" s="8"/>
      <c r="W792" s="8"/>
      <c r="X792" s="8"/>
      <c r="Y792" s="8"/>
      <c r="Z792" s="194"/>
      <c r="AA792" s="194"/>
      <c r="AB792" s="194"/>
      <c r="AC792" s="11"/>
      <c r="AD792" s="11"/>
      <c r="AE792" s="11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3"/>
      <c r="AY792" s="13"/>
      <c r="AZ792" s="13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</row>
    <row r="793" spans="1:63" ht="14.25" customHeight="1" x14ac:dyDescent="0.25">
      <c r="A793" s="9"/>
      <c r="B793" s="2"/>
      <c r="C793" s="3"/>
      <c r="D793" s="9"/>
      <c r="E793" s="9"/>
      <c r="F793" s="9"/>
      <c r="G793" s="9"/>
      <c r="H793" s="9"/>
      <c r="I793" s="8"/>
      <c r="J793" s="8"/>
      <c r="K793" s="8"/>
      <c r="L793" s="8"/>
      <c r="M793" s="8"/>
      <c r="N793" s="8"/>
      <c r="O793" s="8"/>
      <c r="P793" s="9"/>
      <c r="Q793" s="9"/>
      <c r="R793" s="9"/>
      <c r="S793" s="8"/>
      <c r="T793" s="8"/>
      <c r="U793" s="8"/>
      <c r="V793" s="8"/>
      <c r="W793" s="8"/>
      <c r="X793" s="8"/>
      <c r="Y793" s="8"/>
      <c r="Z793" s="194"/>
      <c r="AA793" s="194"/>
      <c r="AB793" s="194"/>
      <c r="AC793" s="11"/>
      <c r="AD793" s="11"/>
      <c r="AE793" s="11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3"/>
      <c r="AY793" s="13"/>
      <c r="AZ793" s="13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</row>
    <row r="794" spans="1:63" ht="14.25" customHeight="1" x14ac:dyDescent="0.25">
      <c r="A794" s="9"/>
      <c r="B794" s="2"/>
      <c r="C794" s="3"/>
      <c r="D794" s="9"/>
      <c r="E794" s="9"/>
      <c r="F794" s="9"/>
      <c r="G794" s="9"/>
      <c r="H794" s="9"/>
      <c r="I794" s="8"/>
      <c r="J794" s="8"/>
      <c r="K794" s="8"/>
      <c r="L794" s="8"/>
      <c r="M794" s="8"/>
      <c r="N794" s="8"/>
      <c r="O794" s="8"/>
      <c r="P794" s="9"/>
      <c r="Q794" s="9"/>
      <c r="R794" s="9"/>
      <c r="S794" s="8"/>
      <c r="T794" s="8"/>
      <c r="U794" s="8"/>
      <c r="V794" s="8"/>
      <c r="W794" s="8"/>
      <c r="X794" s="8"/>
      <c r="Y794" s="8"/>
      <c r="Z794" s="194"/>
      <c r="AA794" s="194"/>
      <c r="AB794" s="194"/>
      <c r="AC794" s="11"/>
      <c r="AD794" s="11"/>
      <c r="AE794" s="11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3"/>
      <c r="AY794" s="13"/>
      <c r="AZ794" s="13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</row>
    <row r="795" spans="1:63" ht="14.25" customHeight="1" x14ac:dyDescent="0.25">
      <c r="A795" s="9"/>
      <c r="B795" s="2"/>
      <c r="C795" s="3"/>
      <c r="D795" s="9"/>
      <c r="E795" s="9"/>
      <c r="F795" s="9"/>
      <c r="G795" s="9"/>
      <c r="H795" s="9"/>
      <c r="I795" s="8"/>
      <c r="J795" s="8"/>
      <c r="K795" s="8"/>
      <c r="L795" s="8"/>
      <c r="M795" s="8"/>
      <c r="N795" s="8"/>
      <c r="O795" s="8"/>
      <c r="P795" s="9"/>
      <c r="Q795" s="9"/>
      <c r="R795" s="9"/>
      <c r="S795" s="8"/>
      <c r="T795" s="8"/>
      <c r="U795" s="8"/>
      <c r="V795" s="8"/>
      <c r="W795" s="8"/>
      <c r="X795" s="8"/>
      <c r="Y795" s="8"/>
      <c r="Z795" s="194"/>
      <c r="AA795" s="194"/>
      <c r="AB795" s="194"/>
      <c r="AC795" s="11"/>
      <c r="AD795" s="11"/>
      <c r="AE795" s="11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3"/>
      <c r="AY795" s="13"/>
      <c r="AZ795" s="13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</row>
    <row r="796" spans="1:63" ht="14.25" customHeight="1" x14ac:dyDescent="0.25">
      <c r="A796" s="9"/>
      <c r="B796" s="2"/>
      <c r="C796" s="3"/>
      <c r="D796" s="9"/>
      <c r="E796" s="9"/>
      <c r="F796" s="9"/>
      <c r="G796" s="9"/>
      <c r="H796" s="9"/>
      <c r="I796" s="8"/>
      <c r="J796" s="8"/>
      <c r="K796" s="8"/>
      <c r="L796" s="8"/>
      <c r="M796" s="8"/>
      <c r="N796" s="8"/>
      <c r="O796" s="8"/>
      <c r="P796" s="9"/>
      <c r="Q796" s="9"/>
      <c r="R796" s="9"/>
      <c r="S796" s="8"/>
      <c r="T796" s="8"/>
      <c r="U796" s="8"/>
      <c r="V796" s="8"/>
      <c r="W796" s="8"/>
      <c r="X796" s="8"/>
      <c r="Y796" s="8"/>
      <c r="Z796" s="194"/>
      <c r="AA796" s="194"/>
      <c r="AB796" s="194"/>
      <c r="AC796" s="11"/>
      <c r="AD796" s="11"/>
      <c r="AE796" s="11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3"/>
      <c r="AY796" s="13"/>
      <c r="AZ796" s="13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</row>
    <row r="797" spans="1:63" ht="14.25" customHeight="1" x14ac:dyDescent="0.25">
      <c r="A797" s="9"/>
      <c r="B797" s="2"/>
      <c r="C797" s="3"/>
      <c r="D797" s="9"/>
      <c r="E797" s="9"/>
      <c r="F797" s="9"/>
      <c r="G797" s="9"/>
      <c r="H797" s="9"/>
      <c r="I797" s="8"/>
      <c r="J797" s="8"/>
      <c r="K797" s="8"/>
      <c r="L797" s="8"/>
      <c r="M797" s="8"/>
      <c r="N797" s="8"/>
      <c r="O797" s="8"/>
      <c r="P797" s="9"/>
      <c r="Q797" s="9"/>
      <c r="R797" s="9"/>
      <c r="S797" s="8"/>
      <c r="T797" s="8"/>
      <c r="U797" s="8"/>
      <c r="V797" s="8"/>
      <c r="W797" s="8"/>
      <c r="X797" s="8"/>
      <c r="Y797" s="8"/>
      <c r="Z797" s="194"/>
      <c r="AA797" s="194"/>
      <c r="AB797" s="194"/>
      <c r="AC797" s="11"/>
      <c r="AD797" s="11"/>
      <c r="AE797" s="11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3"/>
      <c r="AY797" s="13"/>
      <c r="AZ797" s="13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</row>
    <row r="798" spans="1:63" ht="14.25" customHeight="1" x14ac:dyDescent="0.25">
      <c r="A798" s="9"/>
      <c r="B798" s="2"/>
      <c r="C798" s="3"/>
      <c r="D798" s="9"/>
      <c r="E798" s="9"/>
      <c r="F798" s="9"/>
      <c r="G798" s="9"/>
      <c r="H798" s="9"/>
      <c r="I798" s="8"/>
      <c r="J798" s="8"/>
      <c r="K798" s="8"/>
      <c r="L798" s="8"/>
      <c r="M798" s="8"/>
      <c r="N798" s="8"/>
      <c r="O798" s="8"/>
      <c r="P798" s="9"/>
      <c r="Q798" s="9"/>
      <c r="R798" s="9"/>
      <c r="S798" s="8"/>
      <c r="T798" s="8"/>
      <c r="U798" s="8"/>
      <c r="V798" s="8"/>
      <c r="W798" s="8"/>
      <c r="X798" s="8"/>
      <c r="Y798" s="8"/>
      <c r="Z798" s="194"/>
      <c r="AA798" s="194"/>
      <c r="AB798" s="194"/>
      <c r="AC798" s="11"/>
      <c r="AD798" s="11"/>
      <c r="AE798" s="11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3"/>
      <c r="AY798" s="13"/>
      <c r="AZ798" s="13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</row>
    <row r="799" spans="1:63" ht="14.25" customHeight="1" x14ac:dyDescent="0.25">
      <c r="A799" s="9"/>
      <c r="B799" s="2"/>
      <c r="C799" s="3"/>
      <c r="D799" s="9"/>
      <c r="E799" s="9"/>
      <c r="F799" s="9"/>
      <c r="G799" s="9"/>
      <c r="H799" s="9"/>
      <c r="I799" s="8"/>
      <c r="J799" s="8"/>
      <c r="K799" s="8"/>
      <c r="L799" s="8"/>
      <c r="M799" s="8"/>
      <c r="N799" s="8"/>
      <c r="O799" s="8"/>
      <c r="P799" s="9"/>
      <c r="Q799" s="9"/>
      <c r="R799" s="9"/>
      <c r="S799" s="8"/>
      <c r="T799" s="8"/>
      <c r="U799" s="8"/>
      <c r="V799" s="8"/>
      <c r="W799" s="8"/>
      <c r="X799" s="8"/>
      <c r="Y799" s="8"/>
      <c r="Z799" s="194"/>
      <c r="AA799" s="194"/>
      <c r="AB799" s="194"/>
      <c r="AC799" s="11"/>
      <c r="AD799" s="11"/>
      <c r="AE799" s="11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3"/>
      <c r="AY799" s="13"/>
      <c r="AZ799" s="13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</row>
    <row r="800" spans="1:63" ht="14.25" customHeight="1" x14ac:dyDescent="0.25">
      <c r="A800" s="9"/>
      <c r="B800" s="2"/>
      <c r="C800" s="3"/>
      <c r="D800" s="9"/>
      <c r="E800" s="9"/>
      <c r="F800" s="9"/>
      <c r="G800" s="9"/>
      <c r="H800" s="9"/>
      <c r="I800" s="8"/>
      <c r="J800" s="8"/>
      <c r="K800" s="8"/>
      <c r="L800" s="8"/>
      <c r="M800" s="8"/>
      <c r="N800" s="8"/>
      <c r="O800" s="8"/>
      <c r="P800" s="9"/>
      <c r="Q800" s="9"/>
      <c r="R800" s="9"/>
      <c r="S800" s="8"/>
      <c r="T800" s="8"/>
      <c r="U800" s="8"/>
      <c r="V800" s="8"/>
      <c r="W800" s="8"/>
      <c r="X800" s="8"/>
      <c r="Y800" s="8"/>
      <c r="Z800" s="194"/>
      <c r="AA800" s="194"/>
      <c r="AB800" s="194"/>
      <c r="AC800" s="11"/>
      <c r="AD800" s="11"/>
      <c r="AE800" s="11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3"/>
      <c r="AY800" s="13"/>
      <c r="AZ800" s="13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</row>
    <row r="801" spans="1:63" ht="14.25" customHeight="1" x14ac:dyDescent="0.25">
      <c r="A801" s="9"/>
      <c r="B801" s="2"/>
      <c r="C801" s="3"/>
      <c r="D801" s="9"/>
      <c r="E801" s="9"/>
      <c r="F801" s="9"/>
      <c r="G801" s="9"/>
      <c r="H801" s="9"/>
      <c r="I801" s="8"/>
      <c r="J801" s="8"/>
      <c r="K801" s="8"/>
      <c r="L801" s="8"/>
      <c r="M801" s="8"/>
      <c r="N801" s="8"/>
      <c r="O801" s="8"/>
      <c r="P801" s="9"/>
      <c r="Q801" s="9"/>
      <c r="R801" s="9"/>
      <c r="S801" s="8"/>
      <c r="T801" s="8"/>
      <c r="U801" s="8"/>
      <c r="V801" s="8"/>
      <c r="W801" s="8"/>
      <c r="X801" s="8"/>
      <c r="Y801" s="8"/>
      <c r="Z801" s="194"/>
      <c r="AA801" s="194"/>
      <c r="AB801" s="194"/>
      <c r="AC801" s="11"/>
      <c r="AD801" s="11"/>
      <c r="AE801" s="11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3"/>
      <c r="AY801" s="13"/>
      <c r="AZ801" s="13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</row>
    <row r="802" spans="1:63" ht="14.25" customHeight="1" x14ac:dyDescent="0.25">
      <c r="A802" s="9"/>
      <c r="B802" s="2"/>
      <c r="C802" s="3"/>
      <c r="D802" s="9"/>
      <c r="E802" s="9"/>
      <c r="F802" s="9"/>
      <c r="G802" s="9"/>
      <c r="H802" s="9"/>
      <c r="I802" s="8"/>
      <c r="J802" s="8"/>
      <c r="K802" s="8"/>
      <c r="L802" s="8"/>
      <c r="M802" s="8"/>
      <c r="N802" s="8"/>
      <c r="O802" s="8"/>
      <c r="P802" s="9"/>
      <c r="Q802" s="9"/>
      <c r="R802" s="9"/>
      <c r="S802" s="8"/>
      <c r="T802" s="8"/>
      <c r="U802" s="8"/>
      <c r="V802" s="8"/>
      <c r="W802" s="8"/>
      <c r="X802" s="8"/>
      <c r="Y802" s="8"/>
      <c r="Z802" s="194"/>
      <c r="AA802" s="194"/>
      <c r="AB802" s="194"/>
      <c r="AC802" s="11"/>
      <c r="AD802" s="11"/>
      <c r="AE802" s="11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3"/>
      <c r="AY802" s="13"/>
      <c r="AZ802" s="13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</row>
    <row r="803" spans="1:63" ht="14.25" customHeight="1" x14ac:dyDescent="0.25">
      <c r="A803" s="9"/>
      <c r="B803" s="2"/>
      <c r="C803" s="3"/>
      <c r="D803" s="9"/>
      <c r="E803" s="9"/>
      <c r="F803" s="9"/>
      <c r="G803" s="9"/>
      <c r="H803" s="9"/>
      <c r="I803" s="8"/>
      <c r="J803" s="8"/>
      <c r="K803" s="8"/>
      <c r="L803" s="8"/>
      <c r="M803" s="8"/>
      <c r="N803" s="8"/>
      <c r="O803" s="8"/>
      <c r="P803" s="9"/>
      <c r="Q803" s="9"/>
      <c r="R803" s="9"/>
      <c r="S803" s="8"/>
      <c r="T803" s="8"/>
      <c r="U803" s="8"/>
      <c r="V803" s="8"/>
      <c r="W803" s="8"/>
      <c r="X803" s="8"/>
      <c r="Y803" s="8"/>
      <c r="Z803" s="194"/>
      <c r="AA803" s="194"/>
      <c r="AB803" s="194"/>
      <c r="AC803" s="11"/>
      <c r="AD803" s="11"/>
      <c r="AE803" s="11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3"/>
      <c r="AY803" s="13"/>
      <c r="AZ803" s="13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</row>
    <row r="804" spans="1:63" ht="14.25" customHeight="1" x14ac:dyDescent="0.25">
      <c r="A804" s="9"/>
      <c r="B804" s="2"/>
      <c r="C804" s="3"/>
      <c r="D804" s="9"/>
      <c r="E804" s="9"/>
      <c r="F804" s="9"/>
      <c r="G804" s="9"/>
      <c r="H804" s="9"/>
      <c r="I804" s="8"/>
      <c r="J804" s="8"/>
      <c r="K804" s="8"/>
      <c r="L804" s="8"/>
      <c r="M804" s="8"/>
      <c r="N804" s="8"/>
      <c r="O804" s="8"/>
      <c r="P804" s="9"/>
      <c r="Q804" s="9"/>
      <c r="R804" s="9"/>
      <c r="S804" s="8"/>
      <c r="T804" s="8"/>
      <c r="U804" s="8"/>
      <c r="V804" s="8"/>
      <c r="W804" s="8"/>
      <c r="X804" s="8"/>
      <c r="Y804" s="8"/>
      <c r="Z804" s="194"/>
      <c r="AA804" s="194"/>
      <c r="AB804" s="194"/>
      <c r="AC804" s="11"/>
      <c r="AD804" s="11"/>
      <c r="AE804" s="11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3"/>
      <c r="AY804" s="13"/>
      <c r="AZ804" s="13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</row>
    <row r="805" spans="1:63" ht="14.25" customHeight="1" x14ac:dyDescent="0.25">
      <c r="A805" s="9"/>
      <c r="B805" s="2"/>
      <c r="C805" s="3"/>
      <c r="D805" s="9"/>
      <c r="E805" s="9"/>
      <c r="F805" s="9"/>
      <c r="G805" s="9"/>
      <c r="H805" s="9"/>
      <c r="I805" s="8"/>
      <c r="J805" s="8"/>
      <c r="K805" s="8"/>
      <c r="L805" s="8"/>
      <c r="M805" s="8"/>
      <c r="N805" s="8"/>
      <c r="O805" s="8"/>
      <c r="P805" s="9"/>
      <c r="Q805" s="9"/>
      <c r="R805" s="9"/>
      <c r="S805" s="8"/>
      <c r="T805" s="8"/>
      <c r="U805" s="8"/>
      <c r="V805" s="8"/>
      <c r="W805" s="8"/>
      <c r="X805" s="8"/>
      <c r="Y805" s="8"/>
      <c r="Z805" s="194"/>
      <c r="AA805" s="194"/>
      <c r="AB805" s="194"/>
      <c r="AC805" s="11"/>
      <c r="AD805" s="11"/>
      <c r="AE805" s="11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3"/>
      <c r="AY805" s="13"/>
      <c r="AZ805" s="13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</row>
    <row r="806" spans="1:63" ht="14.25" customHeight="1" x14ac:dyDescent="0.25">
      <c r="A806" s="9"/>
      <c r="B806" s="2"/>
      <c r="C806" s="3"/>
      <c r="D806" s="9"/>
      <c r="E806" s="9"/>
      <c r="F806" s="9"/>
      <c r="G806" s="9"/>
      <c r="H806" s="9"/>
      <c r="I806" s="8"/>
      <c r="J806" s="8"/>
      <c r="K806" s="8"/>
      <c r="L806" s="8"/>
      <c r="M806" s="8"/>
      <c r="N806" s="8"/>
      <c r="O806" s="8"/>
      <c r="P806" s="9"/>
      <c r="Q806" s="9"/>
      <c r="R806" s="9"/>
      <c r="S806" s="8"/>
      <c r="T806" s="8"/>
      <c r="U806" s="8"/>
      <c r="V806" s="8"/>
      <c r="W806" s="8"/>
      <c r="X806" s="8"/>
      <c r="Y806" s="8"/>
      <c r="Z806" s="194"/>
      <c r="AA806" s="194"/>
      <c r="AB806" s="194"/>
      <c r="AC806" s="11"/>
      <c r="AD806" s="11"/>
      <c r="AE806" s="11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3"/>
      <c r="AY806" s="13"/>
      <c r="AZ806" s="13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</row>
    <row r="807" spans="1:63" ht="14.25" customHeight="1" x14ac:dyDescent="0.25">
      <c r="A807" s="9"/>
      <c r="B807" s="2"/>
      <c r="C807" s="3"/>
      <c r="D807" s="9"/>
      <c r="E807" s="9"/>
      <c r="F807" s="9"/>
      <c r="G807" s="9"/>
      <c r="H807" s="9"/>
      <c r="I807" s="8"/>
      <c r="J807" s="8"/>
      <c r="K807" s="8"/>
      <c r="L807" s="8"/>
      <c r="M807" s="8"/>
      <c r="N807" s="8"/>
      <c r="O807" s="8"/>
      <c r="P807" s="9"/>
      <c r="Q807" s="9"/>
      <c r="R807" s="9"/>
      <c r="S807" s="8"/>
      <c r="T807" s="8"/>
      <c r="U807" s="8"/>
      <c r="V807" s="8"/>
      <c r="W807" s="8"/>
      <c r="X807" s="8"/>
      <c r="Y807" s="8"/>
      <c r="Z807" s="194"/>
      <c r="AA807" s="194"/>
      <c r="AB807" s="194"/>
      <c r="AC807" s="11"/>
      <c r="AD807" s="11"/>
      <c r="AE807" s="11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3"/>
      <c r="AY807" s="13"/>
      <c r="AZ807" s="13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</row>
    <row r="808" spans="1:63" ht="14.25" customHeight="1" x14ac:dyDescent="0.25">
      <c r="A808" s="9"/>
      <c r="B808" s="2"/>
      <c r="C808" s="3"/>
      <c r="D808" s="9"/>
      <c r="E808" s="9"/>
      <c r="F808" s="9"/>
      <c r="G808" s="9"/>
      <c r="H808" s="9"/>
      <c r="I808" s="8"/>
      <c r="J808" s="8"/>
      <c r="K808" s="8"/>
      <c r="L808" s="8"/>
      <c r="M808" s="8"/>
      <c r="N808" s="8"/>
      <c r="O808" s="8"/>
      <c r="P808" s="9"/>
      <c r="Q808" s="9"/>
      <c r="R808" s="9"/>
      <c r="S808" s="8"/>
      <c r="T808" s="8"/>
      <c r="U808" s="8"/>
      <c r="V808" s="8"/>
      <c r="W808" s="8"/>
      <c r="X808" s="8"/>
      <c r="Y808" s="8"/>
      <c r="Z808" s="194"/>
      <c r="AA808" s="194"/>
      <c r="AB808" s="194"/>
      <c r="AC808" s="11"/>
      <c r="AD808" s="11"/>
      <c r="AE808" s="11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3"/>
      <c r="AY808" s="13"/>
      <c r="AZ808" s="13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</row>
    <row r="809" spans="1:63" ht="14.25" customHeight="1" x14ac:dyDescent="0.25">
      <c r="A809" s="9"/>
      <c r="B809" s="2"/>
      <c r="C809" s="3"/>
      <c r="D809" s="9"/>
      <c r="E809" s="9"/>
      <c r="F809" s="9"/>
      <c r="G809" s="9"/>
      <c r="H809" s="9"/>
      <c r="I809" s="8"/>
      <c r="J809" s="8"/>
      <c r="K809" s="8"/>
      <c r="L809" s="8"/>
      <c r="M809" s="8"/>
      <c r="N809" s="8"/>
      <c r="O809" s="8"/>
      <c r="P809" s="9"/>
      <c r="Q809" s="9"/>
      <c r="R809" s="9"/>
      <c r="S809" s="8"/>
      <c r="T809" s="8"/>
      <c r="U809" s="8"/>
      <c r="V809" s="8"/>
      <c r="W809" s="8"/>
      <c r="X809" s="8"/>
      <c r="Y809" s="8"/>
      <c r="Z809" s="194"/>
      <c r="AA809" s="194"/>
      <c r="AB809" s="194"/>
      <c r="AC809" s="11"/>
      <c r="AD809" s="11"/>
      <c r="AE809" s="11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3"/>
      <c r="AY809" s="13"/>
      <c r="AZ809" s="13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</row>
    <row r="810" spans="1:63" ht="14.25" customHeight="1" x14ac:dyDescent="0.25">
      <c r="A810" s="9"/>
      <c r="B810" s="2"/>
      <c r="C810" s="3"/>
      <c r="D810" s="9"/>
      <c r="E810" s="9"/>
      <c r="F810" s="9"/>
      <c r="G810" s="9"/>
      <c r="H810" s="9"/>
      <c r="I810" s="8"/>
      <c r="J810" s="8"/>
      <c r="K810" s="8"/>
      <c r="L810" s="8"/>
      <c r="M810" s="8"/>
      <c r="N810" s="8"/>
      <c r="O810" s="8"/>
      <c r="P810" s="9"/>
      <c r="Q810" s="9"/>
      <c r="R810" s="9"/>
      <c r="S810" s="8"/>
      <c r="T810" s="8"/>
      <c r="U810" s="8"/>
      <c r="V810" s="8"/>
      <c r="W810" s="8"/>
      <c r="X810" s="8"/>
      <c r="Y810" s="8"/>
      <c r="Z810" s="194"/>
      <c r="AA810" s="194"/>
      <c r="AB810" s="194"/>
      <c r="AC810" s="11"/>
      <c r="AD810" s="11"/>
      <c r="AE810" s="11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3"/>
      <c r="AY810" s="13"/>
      <c r="AZ810" s="13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</row>
    <row r="811" spans="1:63" ht="14.25" customHeight="1" x14ac:dyDescent="0.25">
      <c r="A811" s="9"/>
      <c r="B811" s="2"/>
      <c r="C811" s="3"/>
      <c r="D811" s="9"/>
      <c r="E811" s="9"/>
      <c r="F811" s="9"/>
      <c r="G811" s="9"/>
      <c r="H811" s="9"/>
      <c r="I811" s="8"/>
      <c r="J811" s="8"/>
      <c r="K811" s="8"/>
      <c r="L811" s="8"/>
      <c r="M811" s="8"/>
      <c r="N811" s="8"/>
      <c r="O811" s="8"/>
      <c r="P811" s="9"/>
      <c r="Q811" s="9"/>
      <c r="R811" s="9"/>
      <c r="S811" s="8"/>
      <c r="T811" s="8"/>
      <c r="U811" s="8"/>
      <c r="V811" s="8"/>
      <c r="W811" s="8"/>
      <c r="X811" s="8"/>
      <c r="Y811" s="8"/>
      <c r="Z811" s="194"/>
      <c r="AA811" s="194"/>
      <c r="AB811" s="194"/>
      <c r="AC811" s="11"/>
      <c r="AD811" s="11"/>
      <c r="AE811" s="11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3"/>
      <c r="AY811" s="13"/>
      <c r="AZ811" s="13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</row>
    <row r="812" spans="1:63" ht="14.25" customHeight="1" x14ac:dyDescent="0.25">
      <c r="A812" s="9"/>
      <c r="B812" s="2"/>
      <c r="C812" s="3"/>
      <c r="D812" s="9"/>
      <c r="E812" s="9"/>
      <c r="F812" s="9"/>
      <c r="G812" s="9"/>
      <c r="H812" s="9"/>
      <c r="I812" s="8"/>
      <c r="J812" s="8"/>
      <c r="K812" s="8"/>
      <c r="L812" s="8"/>
      <c r="M812" s="8"/>
      <c r="N812" s="8"/>
      <c r="O812" s="8"/>
      <c r="P812" s="9"/>
      <c r="Q812" s="9"/>
      <c r="R812" s="9"/>
      <c r="S812" s="8"/>
      <c r="T812" s="8"/>
      <c r="U812" s="8"/>
      <c r="V812" s="8"/>
      <c r="W812" s="8"/>
      <c r="X812" s="8"/>
      <c r="Y812" s="8"/>
      <c r="Z812" s="194"/>
      <c r="AA812" s="194"/>
      <c r="AB812" s="194"/>
      <c r="AC812" s="11"/>
      <c r="AD812" s="11"/>
      <c r="AE812" s="11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3"/>
      <c r="AY812" s="13"/>
      <c r="AZ812" s="13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</row>
    <row r="813" spans="1:63" ht="14.25" customHeight="1" x14ac:dyDescent="0.25">
      <c r="A813" s="9"/>
      <c r="B813" s="2"/>
      <c r="C813" s="3"/>
      <c r="D813" s="9"/>
      <c r="E813" s="9"/>
      <c r="F813" s="9"/>
      <c r="G813" s="9"/>
      <c r="H813" s="9"/>
      <c r="I813" s="8"/>
      <c r="J813" s="8"/>
      <c r="K813" s="8"/>
      <c r="L813" s="8"/>
      <c r="M813" s="8"/>
      <c r="N813" s="8"/>
      <c r="O813" s="8"/>
      <c r="P813" s="9"/>
      <c r="Q813" s="9"/>
      <c r="R813" s="9"/>
      <c r="S813" s="8"/>
      <c r="T813" s="8"/>
      <c r="U813" s="8"/>
      <c r="V813" s="8"/>
      <c r="W813" s="8"/>
      <c r="X813" s="8"/>
      <c r="Y813" s="8"/>
      <c r="Z813" s="194"/>
      <c r="AA813" s="194"/>
      <c r="AB813" s="194"/>
      <c r="AC813" s="11"/>
      <c r="AD813" s="11"/>
      <c r="AE813" s="11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3"/>
      <c r="AY813" s="13"/>
      <c r="AZ813" s="13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</row>
    <row r="814" spans="1:63" ht="14.25" customHeight="1" x14ac:dyDescent="0.25">
      <c r="A814" s="9"/>
      <c r="B814" s="2"/>
      <c r="C814" s="3"/>
      <c r="D814" s="9"/>
      <c r="E814" s="9"/>
      <c r="F814" s="9"/>
      <c r="G814" s="9"/>
      <c r="H814" s="9"/>
      <c r="I814" s="8"/>
      <c r="J814" s="8"/>
      <c r="K814" s="8"/>
      <c r="L814" s="8"/>
      <c r="M814" s="8"/>
      <c r="N814" s="8"/>
      <c r="O814" s="8"/>
      <c r="P814" s="9"/>
      <c r="Q814" s="9"/>
      <c r="R814" s="9"/>
      <c r="S814" s="8"/>
      <c r="T814" s="8"/>
      <c r="U814" s="8"/>
      <c r="V814" s="8"/>
      <c r="W814" s="8"/>
      <c r="X814" s="8"/>
      <c r="Y814" s="8"/>
      <c r="Z814" s="194"/>
      <c r="AA814" s="194"/>
      <c r="AB814" s="194"/>
      <c r="AC814" s="11"/>
      <c r="AD814" s="11"/>
      <c r="AE814" s="11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3"/>
      <c r="AY814" s="13"/>
      <c r="AZ814" s="13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</row>
    <row r="815" spans="1:63" ht="14.25" customHeight="1" x14ac:dyDescent="0.25">
      <c r="A815" s="9"/>
      <c r="B815" s="2"/>
      <c r="C815" s="3"/>
      <c r="D815" s="9"/>
      <c r="E815" s="9"/>
      <c r="F815" s="9"/>
      <c r="G815" s="9"/>
      <c r="H815" s="9"/>
      <c r="I815" s="8"/>
      <c r="J815" s="8"/>
      <c r="K815" s="8"/>
      <c r="L815" s="8"/>
      <c r="M815" s="8"/>
      <c r="N815" s="8"/>
      <c r="O815" s="8"/>
      <c r="P815" s="9"/>
      <c r="Q815" s="9"/>
      <c r="R815" s="9"/>
      <c r="S815" s="8"/>
      <c r="T815" s="8"/>
      <c r="U815" s="8"/>
      <c r="V815" s="8"/>
      <c r="W815" s="8"/>
      <c r="X815" s="8"/>
      <c r="Y815" s="8"/>
      <c r="Z815" s="194"/>
      <c r="AA815" s="194"/>
      <c r="AB815" s="194"/>
      <c r="AC815" s="11"/>
      <c r="AD815" s="11"/>
      <c r="AE815" s="11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3"/>
      <c r="AY815" s="13"/>
      <c r="AZ815" s="13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</row>
    <row r="816" spans="1:63" ht="14.25" customHeight="1" x14ac:dyDescent="0.25">
      <c r="A816" s="9"/>
      <c r="B816" s="2"/>
      <c r="C816" s="3"/>
      <c r="D816" s="9"/>
      <c r="E816" s="9"/>
      <c r="F816" s="9"/>
      <c r="G816" s="9"/>
      <c r="H816" s="9"/>
      <c r="I816" s="8"/>
      <c r="J816" s="8"/>
      <c r="K816" s="8"/>
      <c r="L816" s="8"/>
      <c r="M816" s="8"/>
      <c r="N816" s="8"/>
      <c r="O816" s="8"/>
      <c r="P816" s="9"/>
      <c r="Q816" s="9"/>
      <c r="R816" s="9"/>
      <c r="S816" s="8"/>
      <c r="T816" s="8"/>
      <c r="U816" s="8"/>
      <c r="V816" s="8"/>
      <c r="W816" s="8"/>
      <c r="X816" s="8"/>
      <c r="Y816" s="8"/>
      <c r="Z816" s="194"/>
      <c r="AA816" s="194"/>
      <c r="AB816" s="194"/>
      <c r="AC816" s="11"/>
      <c r="AD816" s="11"/>
      <c r="AE816" s="11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3"/>
      <c r="AY816" s="13"/>
      <c r="AZ816" s="13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</row>
    <row r="817" spans="1:63" ht="14.25" customHeight="1" x14ac:dyDescent="0.25">
      <c r="A817" s="9"/>
      <c r="B817" s="2"/>
      <c r="C817" s="3"/>
      <c r="D817" s="9"/>
      <c r="E817" s="9"/>
      <c r="F817" s="9"/>
      <c r="G817" s="9"/>
      <c r="H817" s="9"/>
      <c r="I817" s="8"/>
      <c r="J817" s="8"/>
      <c r="K817" s="8"/>
      <c r="L817" s="8"/>
      <c r="M817" s="8"/>
      <c r="N817" s="8"/>
      <c r="O817" s="8"/>
      <c r="P817" s="9"/>
      <c r="Q817" s="9"/>
      <c r="R817" s="9"/>
      <c r="S817" s="8"/>
      <c r="T817" s="8"/>
      <c r="U817" s="8"/>
      <c r="V817" s="8"/>
      <c r="W817" s="8"/>
      <c r="X817" s="8"/>
      <c r="Y817" s="8"/>
      <c r="Z817" s="194"/>
      <c r="AA817" s="194"/>
      <c r="AB817" s="194"/>
      <c r="AC817" s="11"/>
      <c r="AD817" s="11"/>
      <c r="AE817" s="11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3"/>
      <c r="AY817" s="13"/>
      <c r="AZ817" s="13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</row>
    <row r="818" spans="1:63" ht="14.25" customHeight="1" x14ac:dyDescent="0.25">
      <c r="A818" s="9"/>
      <c r="B818" s="2"/>
      <c r="C818" s="3"/>
      <c r="D818" s="9"/>
      <c r="E818" s="9"/>
      <c r="F818" s="9"/>
      <c r="G818" s="9"/>
      <c r="H818" s="9"/>
      <c r="I818" s="8"/>
      <c r="J818" s="8"/>
      <c r="K818" s="8"/>
      <c r="L818" s="8"/>
      <c r="M818" s="8"/>
      <c r="N818" s="8"/>
      <c r="O818" s="8"/>
      <c r="P818" s="9"/>
      <c r="Q818" s="9"/>
      <c r="R818" s="9"/>
      <c r="S818" s="8"/>
      <c r="T818" s="8"/>
      <c r="U818" s="8"/>
      <c r="V818" s="8"/>
      <c r="W818" s="8"/>
      <c r="X818" s="8"/>
      <c r="Y818" s="8"/>
      <c r="Z818" s="194"/>
      <c r="AA818" s="194"/>
      <c r="AB818" s="194"/>
      <c r="AC818" s="11"/>
      <c r="AD818" s="11"/>
      <c r="AE818" s="11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3"/>
      <c r="AY818" s="13"/>
      <c r="AZ818" s="13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</row>
    <row r="819" spans="1:63" ht="14.25" customHeight="1" x14ac:dyDescent="0.25">
      <c r="A819" s="9"/>
      <c r="B819" s="2"/>
      <c r="C819" s="3"/>
      <c r="D819" s="9"/>
      <c r="E819" s="9"/>
      <c r="F819" s="9"/>
      <c r="G819" s="9"/>
      <c r="H819" s="9"/>
      <c r="I819" s="8"/>
      <c r="J819" s="8"/>
      <c r="K819" s="8"/>
      <c r="L819" s="8"/>
      <c r="M819" s="8"/>
      <c r="N819" s="8"/>
      <c r="O819" s="8"/>
      <c r="P819" s="9"/>
      <c r="Q819" s="9"/>
      <c r="R819" s="9"/>
      <c r="S819" s="8"/>
      <c r="T819" s="8"/>
      <c r="U819" s="8"/>
      <c r="V819" s="8"/>
      <c r="W819" s="8"/>
      <c r="X819" s="8"/>
      <c r="Y819" s="8"/>
      <c r="Z819" s="194"/>
      <c r="AA819" s="194"/>
      <c r="AB819" s="194"/>
      <c r="AC819" s="11"/>
      <c r="AD819" s="11"/>
      <c r="AE819" s="11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3"/>
      <c r="AY819" s="13"/>
      <c r="AZ819" s="13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</row>
    <row r="820" spans="1:63" ht="14.25" customHeight="1" x14ac:dyDescent="0.25">
      <c r="A820" s="9"/>
      <c r="B820" s="2"/>
      <c r="C820" s="3"/>
      <c r="D820" s="9"/>
      <c r="E820" s="9"/>
      <c r="F820" s="9"/>
      <c r="G820" s="9"/>
      <c r="H820" s="9"/>
      <c r="I820" s="8"/>
      <c r="J820" s="8"/>
      <c r="K820" s="8"/>
      <c r="L820" s="8"/>
      <c r="M820" s="8"/>
      <c r="N820" s="8"/>
      <c r="O820" s="8"/>
      <c r="P820" s="9"/>
      <c r="Q820" s="9"/>
      <c r="R820" s="9"/>
      <c r="S820" s="8"/>
      <c r="T820" s="8"/>
      <c r="U820" s="8"/>
      <c r="V820" s="8"/>
      <c r="W820" s="8"/>
      <c r="X820" s="8"/>
      <c r="Y820" s="8"/>
      <c r="Z820" s="194"/>
      <c r="AA820" s="194"/>
      <c r="AB820" s="194"/>
      <c r="AC820" s="11"/>
      <c r="AD820" s="11"/>
      <c r="AE820" s="11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3"/>
      <c r="AY820" s="13"/>
      <c r="AZ820" s="13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</row>
    <row r="821" spans="1:63" ht="14.25" customHeight="1" x14ac:dyDescent="0.25">
      <c r="A821" s="9"/>
      <c r="B821" s="2"/>
      <c r="C821" s="3"/>
      <c r="D821" s="9"/>
      <c r="E821" s="9"/>
      <c r="F821" s="9"/>
      <c r="G821" s="9"/>
      <c r="H821" s="9"/>
      <c r="I821" s="8"/>
      <c r="J821" s="8"/>
      <c r="K821" s="8"/>
      <c r="L821" s="8"/>
      <c r="M821" s="8"/>
      <c r="N821" s="8"/>
      <c r="O821" s="8"/>
      <c r="P821" s="9"/>
      <c r="Q821" s="9"/>
      <c r="R821" s="9"/>
      <c r="S821" s="8"/>
      <c r="T821" s="8"/>
      <c r="U821" s="8"/>
      <c r="V821" s="8"/>
      <c r="W821" s="8"/>
      <c r="X821" s="8"/>
      <c r="Y821" s="8"/>
      <c r="Z821" s="194"/>
      <c r="AA821" s="194"/>
      <c r="AB821" s="194"/>
      <c r="AC821" s="11"/>
      <c r="AD821" s="11"/>
      <c r="AE821" s="11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3"/>
      <c r="AY821" s="13"/>
      <c r="AZ821" s="13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</row>
    <row r="822" spans="1:63" ht="14.25" customHeight="1" x14ac:dyDescent="0.25">
      <c r="A822" s="9"/>
      <c r="B822" s="2"/>
      <c r="C822" s="3"/>
      <c r="D822" s="9"/>
      <c r="E822" s="9"/>
      <c r="F822" s="9"/>
      <c r="G822" s="9"/>
      <c r="H822" s="9"/>
      <c r="I822" s="8"/>
      <c r="J822" s="8"/>
      <c r="K822" s="8"/>
      <c r="L822" s="8"/>
      <c r="M822" s="8"/>
      <c r="N822" s="8"/>
      <c r="O822" s="8"/>
      <c r="P822" s="9"/>
      <c r="Q822" s="9"/>
      <c r="R822" s="9"/>
      <c r="S822" s="8"/>
      <c r="T822" s="8"/>
      <c r="U822" s="8"/>
      <c r="V822" s="8"/>
      <c r="W822" s="8"/>
      <c r="X822" s="8"/>
      <c r="Y822" s="8"/>
      <c r="Z822" s="194"/>
      <c r="AA822" s="194"/>
      <c r="AB822" s="194"/>
      <c r="AC822" s="11"/>
      <c r="AD822" s="11"/>
      <c r="AE822" s="11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3"/>
      <c r="AY822" s="13"/>
      <c r="AZ822" s="13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</row>
    <row r="823" spans="1:63" ht="14.25" customHeight="1" x14ac:dyDescent="0.25">
      <c r="A823" s="9"/>
      <c r="B823" s="2"/>
      <c r="C823" s="3"/>
      <c r="D823" s="9"/>
      <c r="E823" s="9"/>
      <c r="F823" s="9"/>
      <c r="G823" s="9"/>
      <c r="H823" s="9"/>
      <c r="I823" s="8"/>
      <c r="J823" s="8"/>
      <c r="K823" s="8"/>
      <c r="L823" s="8"/>
      <c r="M823" s="8"/>
      <c r="N823" s="8"/>
      <c r="O823" s="8"/>
      <c r="P823" s="9"/>
      <c r="Q823" s="9"/>
      <c r="R823" s="9"/>
      <c r="S823" s="8"/>
      <c r="T823" s="8"/>
      <c r="U823" s="8"/>
      <c r="V823" s="8"/>
      <c r="W823" s="8"/>
      <c r="X823" s="8"/>
      <c r="Y823" s="8"/>
      <c r="Z823" s="194"/>
      <c r="AA823" s="194"/>
      <c r="AB823" s="194"/>
      <c r="AC823" s="11"/>
      <c r="AD823" s="11"/>
      <c r="AE823" s="11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3"/>
      <c r="AY823" s="13"/>
      <c r="AZ823" s="13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</row>
    <row r="824" spans="1:63" ht="14.25" customHeight="1" x14ac:dyDescent="0.25">
      <c r="A824" s="9"/>
      <c r="B824" s="2"/>
      <c r="C824" s="3"/>
      <c r="D824" s="9"/>
      <c r="E824" s="9"/>
      <c r="F824" s="9"/>
      <c r="G824" s="9"/>
      <c r="H824" s="9"/>
      <c r="I824" s="8"/>
      <c r="J824" s="8"/>
      <c r="K824" s="8"/>
      <c r="L824" s="8"/>
      <c r="M824" s="8"/>
      <c r="N824" s="8"/>
      <c r="O824" s="8"/>
      <c r="P824" s="9"/>
      <c r="Q824" s="9"/>
      <c r="R824" s="9"/>
      <c r="S824" s="8"/>
      <c r="T824" s="8"/>
      <c r="U824" s="8"/>
      <c r="V824" s="8"/>
      <c r="W824" s="8"/>
      <c r="X824" s="8"/>
      <c r="Y824" s="8"/>
      <c r="Z824" s="194"/>
      <c r="AA824" s="194"/>
      <c r="AB824" s="194"/>
      <c r="AC824" s="11"/>
      <c r="AD824" s="11"/>
      <c r="AE824" s="11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3"/>
      <c r="AY824" s="13"/>
      <c r="AZ824" s="13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</row>
    <row r="825" spans="1:63" ht="14.25" customHeight="1" x14ac:dyDescent="0.25">
      <c r="A825" s="9"/>
      <c r="B825" s="2"/>
      <c r="C825" s="3"/>
      <c r="D825" s="9"/>
      <c r="E825" s="9"/>
      <c r="F825" s="9"/>
      <c r="G825" s="9"/>
      <c r="H825" s="9"/>
      <c r="I825" s="8"/>
      <c r="J825" s="8"/>
      <c r="K825" s="8"/>
      <c r="L825" s="8"/>
      <c r="M825" s="8"/>
      <c r="N825" s="8"/>
      <c r="O825" s="8"/>
      <c r="P825" s="9"/>
      <c r="Q825" s="9"/>
      <c r="R825" s="9"/>
      <c r="S825" s="8"/>
      <c r="T825" s="8"/>
      <c r="U825" s="8"/>
      <c r="V825" s="8"/>
      <c r="W825" s="8"/>
      <c r="X825" s="8"/>
      <c r="Y825" s="8"/>
      <c r="Z825" s="194"/>
      <c r="AA825" s="194"/>
      <c r="AB825" s="194"/>
      <c r="AC825" s="11"/>
      <c r="AD825" s="11"/>
      <c r="AE825" s="11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3"/>
      <c r="AY825" s="13"/>
      <c r="AZ825" s="13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</row>
    <row r="826" spans="1:63" ht="14.25" customHeight="1" x14ac:dyDescent="0.25">
      <c r="A826" s="9"/>
      <c r="B826" s="2"/>
      <c r="C826" s="3"/>
      <c r="D826" s="9"/>
      <c r="E826" s="9"/>
      <c r="F826" s="9"/>
      <c r="G826" s="9"/>
      <c r="H826" s="9"/>
      <c r="I826" s="8"/>
      <c r="J826" s="8"/>
      <c r="K826" s="8"/>
      <c r="L826" s="8"/>
      <c r="M826" s="8"/>
      <c r="N826" s="8"/>
      <c r="O826" s="8"/>
      <c r="P826" s="9"/>
      <c r="Q826" s="9"/>
      <c r="R826" s="9"/>
      <c r="S826" s="8"/>
      <c r="T826" s="8"/>
      <c r="U826" s="8"/>
      <c r="V826" s="8"/>
      <c r="W826" s="8"/>
      <c r="X826" s="8"/>
      <c r="Y826" s="8"/>
      <c r="Z826" s="194"/>
      <c r="AA826" s="194"/>
      <c r="AB826" s="194"/>
      <c r="AC826" s="11"/>
      <c r="AD826" s="11"/>
      <c r="AE826" s="11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3"/>
      <c r="AY826" s="13"/>
      <c r="AZ826" s="13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</row>
    <row r="827" spans="1:63" ht="14.25" customHeight="1" x14ac:dyDescent="0.25">
      <c r="A827" s="9"/>
      <c r="B827" s="2"/>
      <c r="C827" s="3"/>
      <c r="D827" s="9"/>
      <c r="E827" s="9"/>
      <c r="F827" s="9"/>
      <c r="G827" s="9"/>
      <c r="H827" s="9"/>
      <c r="I827" s="8"/>
      <c r="J827" s="8"/>
      <c r="K827" s="8"/>
      <c r="L827" s="8"/>
      <c r="M827" s="8"/>
      <c r="N827" s="8"/>
      <c r="O827" s="8"/>
      <c r="P827" s="9"/>
      <c r="Q827" s="9"/>
      <c r="R827" s="9"/>
      <c r="S827" s="8"/>
      <c r="T827" s="8"/>
      <c r="U827" s="8"/>
      <c r="V827" s="8"/>
      <c r="W827" s="8"/>
      <c r="X827" s="8"/>
      <c r="Y827" s="8"/>
      <c r="Z827" s="194"/>
      <c r="AA827" s="194"/>
      <c r="AB827" s="194"/>
      <c r="AC827" s="11"/>
      <c r="AD827" s="11"/>
      <c r="AE827" s="11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3"/>
      <c r="AY827" s="13"/>
      <c r="AZ827" s="13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</row>
    <row r="828" spans="1:63" ht="14.25" customHeight="1" x14ac:dyDescent="0.25">
      <c r="A828" s="9"/>
      <c r="B828" s="2"/>
      <c r="C828" s="3"/>
      <c r="D828" s="9"/>
      <c r="E828" s="9"/>
      <c r="F828" s="9"/>
      <c r="G828" s="9"/>
      <c r="H828" s="9"/>
      <c r="I828" s="8"/>
      <c r="J828" s="8"/>
      <c r="K828" s="8"/>
      <c r="L828" s="8"/>
      <c r="M828" s="8"/>
      <c r="N828" s="8"/>
      <c r="O828" s="8"/>
      <c r="P828" s="9"/>
      <c r="Q828" s="9"/>
      <c r="R828" s="9"/>
      <c r="S828" s="8"/>
      <c r="T828" s="8"/>
      <c r="U828" s="8"/>
      <c r="V828" s="8"/>
      <c r="W828" s="8"/>
      <c r="X828" s="8"/>
      <c r="Y828" s="8"/>
      <c r="Z828" s="194"/>
      <c r="AA828" s="194"/>
      <c r="AB828" s="194"/>
      <c r="AC828" s="11"/>
      <c r="AD828" s="11"/>
      <c r="AE828" s="11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3"/>
      <c r="AY828" s="13"/>
      <c r="AZ828" s="13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</row>
    <row r="829" spans="1:63" ht="14.25" customHeight="1" x14ac:dyDescent="0.25">
      <c r="A829" s="9"/>
      <c r="B829" s="2"/>
      <c r="C829" s="3"/>
      <c r="D829" s="9"/>
      <c r="E829" s="9"/>
      <c r="F829" s="9"/>
      <c r="G829" s="9"/>
      <c r="H829" s="9"/>
      <c r="I829" s="8"/>
      <c r="J829" s="8"/>
      <c r="K829" s="8"/>
      <c r="L829" s="8"/>
      <c r="M829" s="8"/>
      <c r="N829" s="8"/>
      <c r="O829" s="8"/>
      <c r="P829" s="9"/>
      <c r="Q829" s="9"/>
      <c r="R829" s="9"/>
      <c r="S829" s="8"/>
      <c r="T829" s="8"/>
      <c r="U829" s="8"/>
      <c r="V829" s="8"/>
      <c r="W829" s="8"/>
      <c r="X829" s="8"/>
      <c r="Y829" s="8"/>
      <c r="Z829" s="194"/>
      <c r="AA829" s="194"/>
      <c r="AB829" s="194"/>
      <c r="AC829" s="11"/>
      <c r="AD829" s="11"/>
      <c r="AE829" s="11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3"/>
      <c r="AY829" s="13"/>
      <c r="AZ829" s="13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</row>
    <row r="830" spans="1:63" ht="14.25" customHeight="1" x14ac:dyDescent="0.25">
      <c r="A830" s="9"/>
      <c r="B830" s="2"/>
      <c r="C830" s="3"/>
      <c r="D830" s="9"/>
      <c r="E830" s="9"/>
      <c r="F830" s="9"/>
      <c r="G830" s="9"/>
      <c r="H830" s="9"/>
      <c r="I830" s="8"/>
      <c r="J830" s="8"/>
      <c r="K830" s="8"/>
      <c r="L830" s="8"/>
      <c r="M830" s="8"/>
      <c r="N830" s="8"/>
      <c r="O830" s="8"/>
      <c r="P830" s="9"/>
      <c r="Q830" s="9"/>
      <c r="R830" s="9"/>
      <c r="S830" s="8"/>
      <c r="T830" s="8"/>
      <c r="U830" s="8"/>
      <c r="V830" s="8"/>
      <c r="W830" s="8"/>
      <c r="X830" s="8"/>
      <c r="Y830" s="8"/>
      <c r="Z830" s="194"/>
      <c r="AA830" s="194"/>
      <c r="AB830" s="194"/>
      <c r="AC830" s="11"/>
      <c r="AD830" s="11"/>
      <c r="AE830" s="11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3"/>
      <c r="AY830" s="13"/>
      <c r="AZ830" s="13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</row>
    <row r="831" spans="1:63" ht="14.25" customHeight="1" x14ac:dyDescent="0.25">
      <c r="A831" s="9"/>
      <c r="B831" s="2"/>
      <c r="C831" s="3"/>
      <c r="D831" s="9"/>
      <c r="E831" s="9"/>
      <c r="F831" s="9"/>
      <c r="G831" s="9"/>
      <c r="H831" s="9"/>
      <c r="I831" s="8"/>
      <c r="J831" s="8"/>
      <c r="K831" s="8"/>
      <c r="L831" s="8"/>
      <c r="M831" s="8"/>
      <c r="N831" s="8"/>
      <c r="O831" s="8"/>
      <c r="P831" s="9"/>
      <c r="Q831" s="9"/>
      <c r="R831" s="9"/>
      <c r="S831" s="8"/>
      <c r="T831" s="8"/>
      <c r="U831" s="8"/>
      <c r="V831" s="8"/>
      <c r="W831" s="8"/>
      <c r="X831" s="8"/>
      <c r="Y831" s="8"/>
      <c r="Z831" s="194"/>
      <c r="AA831" s="194"/>
      <c r="AB831" s="194"/>
      <c r="AC831" s="11"/>
      <c r="AD831" s="11"/>
      <c r="AE831" s="11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3"/>
      <c r="AY831" s="13"/>
      <c r="AZ831" s="13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</row>
    <row r="832" spans="1:63" ht="14.25" customHeight="1" x14ac:dyDescent="0.25">
      <c r="A832" s="9"/>
      <c r="B832" s="2"/>
      <c r="C832" s="3"/>
      <c r="D832" s="9"/>
      <c r="E832" s="9"/>
      <c r="F832" s="9"/>
      <c r="G832" s="9"/>
      <c r="H832" s="9"/>
      <c r="I832" s="8"/>
      <c r="J832" s="8"/>
      <c r="K832" s="8"/>
      <c r="L832" s="8"/>
      <c r="M832" s="8"/>
      <c r="N832" s="8"/>
      <c r="O832" s="8"/>
      <c r="P832" s="9"/>
      <c r="Q832" s="9"/>
      <c r="R832" s="9"/>
      <c r="S832" s="8"/>
      <c r="T832" s="8"/>
      <c r="U832" s="8"/>
      <c r="V832" s="8"/>
      <c r="W832" s="8"/>
      <c r="X832" s="8"/>
      <c r="Y832" s="8"/>
      <c r="Z832" s="194"/>
      <c r="AA832" s="194"/>
      <c r="AB832" s="194"/>
      <c r="AC832" s="11"/>
      <c r="AD832" s="11"/>
      <c r="AE832" s="11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3"/>
      <c r="AY832" s="13"/>
      <c r="AZ832" s="13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</row>
    <row r="833" spans="1:63" ht="14.25" customHeight="1" x14ac:dyDescent="0.25">
      <c r="A833" s="9"/>
      <c r="B833" s="2"/>
      <c r="C833" s="3"/>
      <c r="D833" s="9"/>
      <c r="E833" s="9"/>
      <c r="F833" s="9"/>
      <c r="G833" s="9"/>
      <c r="H833" s="9"/>
      <c r="I833" s="8"/>
      <c r="J833" s="8"/>
      <c r="K833" s="8"/>
      <c r="L833" s="8"/>
      <c r="M833" s="8"/>
      <c r="N833" s="8"/>
      <c r="O833" s="8"/>
      <c r="P833" s="9"/>
      <c r="Q833" s="9"/>
      <c r="R833" s="9"/>
      <c r="S833" s="8"/>
      <c r="T833" s="8"/>
      <c r="U833" s="8"/>
      <c r="V833" s="8"/>
      <c r="W833" s="8"/>
      <c r="X833" s="8"/>
      <c r="Y833" s="8"/>
      <c r="Z833" s="194"/>
      <c r="AA833" s="194"/>
      <c r="AB833" s="194"/>
      <c r="AC833" s="11"/>
      <c r="AD833" s="11"/>
      <c r="AE833" s="11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3"/>
      <c r="AY833" s="13"/>
      <c r="AZ833" s="13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</row>
    <row r="834" spans="1:63" ht="14.25" customHeight="1" x14ac:dyDescent="0.25">
      <c r="A834" s="9"/>
      <c r="B834" s="2"/>
      <c r="C834" s="3"/>
      <c r="D834" s="9"/>
      <c r="E834" s="9"/>
      <c r="F834" s="9"/>
      <c r="G834" s="9"/>
      <c r="H834" s="9"/>
      <c r="I834" s="8"/>
      <c r="J834" s="8"/>
      <c r="K834" s="8"/>
      <c r="L834" s="8"/>
      <c r="M834" s="8"/>
      <c r="N834" s="8"/>
      <c r="O834" s="8"/>
      <c r="P834" s="9"/>
      <c r="Q834" s="9"/>
      <c r="R834" s="9"/>
      <c r="S834" s="8"/>
      <c r="T834" s="8"/>
      <c r="U834" s="8"/>
      <c r="V834" s="8"/>
      <c r="W834" s="8"/>
      <c r="X834" s="8"/>
      <c r="Y834" s="8"/>
      <c r="Z834" s="194"/>
      <c r="AA834" s="194"/>
      <c r="AB834" s="194"/>
      <c r="AC834" s="11"/>
      <c r="AD834" s="11"/>
      <c r="AE834" s="11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3"/>
      <c r="AY834" s="13"/>
      <c r="AZ834" s="13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</row>
    <row r="835" spans="1:63" ht="14.25" customHeight="1" x14ac:dyDescent="0.25">
      <c r="A835" s="9"/>
      <c r="B835" s="2"/>
      <c r="C835" s="3"/>
      <c r="D835" s="9"/>
      <c r="E835" s="9"/>
      <c r="F835" s="9"/>
      <c r="G835" s="9"/>
      <c r="H835" s="9"/>
      <c r="I835" s="8"/>
      <c r="J835" s="8"/>
      <c r="K835" s="8"/>
      <c r="L835" s="8"/>
      <c r="M835" s="8"/>
      <c r="N835" s="8"/>
      <c r="O835" s="8"/>
      <c r="P835" s="9"/>
      <c r="Q835" s="9"/>
      <c r="R835" s="9"/>
      <c r="S835" s="8"/>
      <c r="T835" s="8"/>
      <c r="U835" s="8"/>
      <c r="V835" s="8"/>
      <c r="W835" s="8"/>
      <c r="X835" s="8"/>
      <c r="Y835" s="8"/>
      <c r="Z835" s="194"/>
      <c r="AA835" s="194"/>
      <c r="AB835" s="194"/>
      <c r="AC835" s="11"/>
      <c r="AD835" s="11"/>
      <c r="AE835" s="11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3"/>
      <c r="AY835" s="13"/>
      <c r="AZ835" s="13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</row>
    <row r="836" spans="1:63" ht="14.25" customHeight="1" x14ac:dyDescent="0.25">
      <c r="A836" s="9"/>
      <c r="B836" s="2"/>
      <c r="C836" s="3"/>
      <c r="D836" s="9"/>
      <c r="E836" s="9"/>
      <c r="F836" s="9"/>
      <c r="G836" s="9"/>
      <c r="H836" s="9"/>
      <c r="I836" s="8"/>
      <c r="J836" s="8"/>
      <c r="K836" s="8"/>
      <c r="L836" s="8"/>
      <c r="M836" s="8"/>
      <c r="N836" s="8"/>
      <c r="O836" s="8"/>
      <c r="P836" s="9"/>
      <c r="Q836" s="9"/>
      <c r="R836" s="9"/>
      <c r="S836" s="8"/>
      <c r="T836" s="8"/>
      <c r="U836" s="8"/>
      <c r="V836" s="8"/>
      <c r="W836" s="8"/>
      <c r="X836" s="8"/>
      <c r="Y836" s="8"/>
      <c r="Z836" s="194"/>
      <c r="AA836" s="194"/>
      <c r="AB836" s="194"/>
      <c r="AC836" s="11"/>
      <c r="AD836" s="11"/>
      <c r="AE836" s="11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3"/>
      <c r="AY836" s="13"/>
      <c r="AZ836" s="13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</row>
    <row r="837" spans="1:63" ht="14.25" customHeight="1" x14ac:dyDescent="0.25">
      <c r="A837" s="9"/>
      <c r="B837" s="2"/>
      <c r="C837" s="3"/>
      <c r="D837" s="9"/>
      <c r="E837" s="9"/>
      <c r="F837" s="9"/>
      <c r="G837" s="9"/>
      <c r="H837" s="9"/>
      <c r="I837" s="8"/>
      <c r="J837" s="8"/>
      <c r="K837" s="8"/>
      <c r="L837" s="8"/>
      <c r="M837" s="8"/>
      <c r="N837" s="8"/>
      <c r="O837" s="8"/>
      <c r="P837" s="9"/>
      <c r="Q837" s="9"/>
      <c r="R837" s="9"/>
      <c r="S837" s="8"/>
      <c r="T837" s="8"/>
      <c r="U837" s="8"/>
      <c r="V837" s="8"/>
      <c r="W837" s="8"/>
      <c r="X837" s="8"/>
      <c r="Y837" s="8"/>
      <c r="Z837" s="194"/>
      <c r="AA837" s="194"/>
      <c r="AB837" s="194"/>
      <c r="AC837" s="11"/>
      <c r="AD837" s="11"/>
      <c r="AE837" s="11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3"/>
      <c r="AY837" s="13"/>
      <c r="AZ837" s="13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</row>
    <row r="838" spans="1:63" ht="14.25" customHeight="1" x14ac:dyDescent="0.25">
      <c r="A838" s="9"/>
      <c r="B838" s="2"/>
      <c r="C838" s="3"/>
      <c r="D838" s="9"/>
      <c r="E838" s="9"/>
      <c r="F838" s="9"/>
      <c r="G838" s="9"/>
      <c r="H838" s="9"/>
      <c r="I838" s="8"/>
      <c r="J838" s="8"/>
      <c r="K838" s="8"/>
      <c r="L838" s="8"/>
      <c r="M838" s="8"/>
      <c r="N838" s="8"/>
      <c r="O838" s="8"/>
      <c r="P838" s="9"/>
      <c r="Q838" s="9"/>
      <c r="R838" s="9"/>
      <c r="S838" s="8"/>
      <c r="T838" s="8"/>
      <c r="U838" s="8"/>
      <c r="V838" s="8"/>
      <c r="W838" s="8"/>
      <c r="X838" s="8"/>
      <c r="Y838" s="8"/>
      <c r="Z838" s="194"/>
      <c r="AA838" s="194"/>
      <c r="AB838" s="194"/>
      <c r="AC838" s="11"/>
      <c r="AD838" s="11"/>
      <c r="AE838" s="11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3"/>
      <c r="AY838" s="13"/>
      <c r="AZ838" s="13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</row>
    <row r="839" spans="1:63" ht="14.25" customHeight="1" x14ac:dyDescent="0.25">
      <c r="A839" s="9"/>
      <c r="B839" s="2"/>
      <c r="C839" s="3"/>
      <c r="D839" s="9"/>
      <c r="E839" s="9"/>
      <c r="F839" s="9"/>
      <c r="G839" s="9"/>
      <c r="H839" s="9"/>
      <c r="I839" s="8"/>
      <c r="J839" s="8"/>
      <c r="K839" s="8"/>
      <c r="L839" s="8"/>
      <c r="M839" s="8"/>
      <c r="N839" s="8"/>
      <c r="O839" s="8"/>
      <c r="P839" s="9"/>
      <c r="Q839" s="9"/>
      <c r="R839" s="9"/>
      <c r="S839" s="8"/>
      <c r="T839" s="8"/>
      <c r="U839" s="8"/>
      <c r="V839" s="8"/>
      <c r="W839" s="8"/>
      <c r="X839" s="8"/>
      <c r="Y839" s="8"/>
      <c r="Z839" s="194"/>
      <c r="AA839" s="194"/>
      <c r="AB839" s="194"/>
      <c r="AC839" s="11"/>
      <c r="AD839" s="11"/>
      <c r="AE839" s="11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3"/>
      <c r="AY839" s="13"/>
      <c r="AZ839" s="13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</row>
    <row r="840" spans="1:63" ht="14.25" customHeight="1" x14ac:dyDescent="0.25">
      <c r="A840" s="9"/>
      <c r="B840" s="2"/>
      <c r="C840" s="3"/>
      <c r="D840" s="9"/>
      <c r="E840" s="9"/>
      <c r="F840" s="9"/>
      <c r="G840" s="9"/>
      <c r="H840" s="9"/>
      <c r="I840" s="8"/>
      <c r="J840" s="8"/>
      <c r="K840" s="8"/>
      <c r="L840" s="8"/>
      <c r="M840" s="8"/>
      <c r="N840" s="8"/>
      <c r="O840" s="8"/>
      <c r="P840" s="9"/>
      <c r="Q840" s="9"/>
      <c r="R840" s="9"/>
      <c r="S840" s="8"/>
      <c r="T840" s="8"/>
      <c r="U840" s="8"/>
      <c r="V840" s="8"/>
      <c r="W840" s="8"/>
      <c r="X840" s="8"/>
      <c r="Y840" s="8"/>
      <c r="Z840" s="194"/>
      <c r="AA840" s="194"/>
      <c r="AB840" s="194"/>
      <c r="AC840" s="11"/>
      <c r="AD840" s="11"/>
      <c r="AE840" s="11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3"/>
      <c r="AY840" s="13"/>
      <c r="AZ840" s="13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</row>
    <row r="841" spans="1:63" ht="14.25" customHeight="1" x14ac:dyDescent="0.25">
      <c r="A841" s="9"/>
      <c r="B841" s="2"/>
      <c r="C841" s="3"/>
      <c r="D841" s="9"/>
      <c r="E841" s="9"/>
      <c r="F841" s="9"/>
      <c r="G841" s="9"/>
      <c r="H841" s="9"/>
      <c r="I841" s="8"/>
      <c r="J841" s="8"/>
      <c r="K841" s="8"/>
      <c r="L841" s="8"/>
      <c r="M841" s="8"/>
      <c r="N841" s="8"/>
      <c r="O841" s="8"/>
      <c r="P841" s="9"/>
      <c r="Q841" s="9"/>
      <c r="R841" s="9"/>
      <c r="S841" s="8"/>
      <c r="T841" s="8"/>
      <c r="U841" s="8"/>
      <c r="V841" s="8"/>
      <c r="W841" s="8"/>
      <c r="X841" s="8"/>
      <c r="Y841" s="8"/>
      <c r="Z841" s="194"/>
      <c r="AA841" s="194"/>
      <c r="AB841" s="194"/>
      <c r="AC841" s="11"/>
      <c r="AD841" s="11"/>
      <c r="AE841" s="11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3"/>
      <c r="AY841" s="13"/>
      <c r="AZ841" s="13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</row>
    <row r="842" spans="1:63" ht="14.25" customHeight="1" x14ac:dyDescent="0.25">
      <c r="A842" s="9"/>
      <c r="B842" s="2"/>
      <c r="C842" s="3"/>
      <c r="D842" s="9"/>
      <c r="E842" s="9"/>
      <c r="F842" s="9"/>
      <c r="G842" s="9"/>
      <c r="H842" s="9"/>
      <c r="I842" s="8"/>
      <c r="J842" s="8"/>
      <c r="K842" s="8"/>
      <c r="L842" s="8"/>
      <c r="M842" s="8"/>
      <c r="N842" s="8"/>
      <c r="O842" s="8"/>
      <c r="P842" s="9"/>
      <c r="Q842" s="9"/>
      <c r="R842" s="9"/>
      <c r="S842" s="8"/>
      <c r="T842" s="8"/>
      <c r="U842" s="8"/>
      <c r="V842" s="8"/>
      <c r="W842" s="8"/>
      <c r="X842" s="8"/>
      <c r="Y842" s="8"/>
      <c r="Z842" s="194"/>
      <c r="AA842" s="194"/>
      <c r="AB842" s="194"/>
      <c r="AC842" s="11"/>
      <c r="AD842" s="11"/>
      <c r="AE842" s="11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3"/>
      <c r="AY842" s="13"/>
      <c r="AZ842" s="13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</row>
    <row r="843" spans="1:63" ht="14.25" customHeight="1" x14ac:dyDescent="0.25">
      <c r="A843" s="9"/>
      <c r="B843" s="2"/>
      <c r="C843" s="3"/>
      <c r="D843" s="9"/>
      <c r="E843" s="9"/>
      <c r="F843" s="9"/>
      <c r="G843" s="9"/>
      <c r="H843" s="9"/>
      <c r="I843" s="8"/>
      <c r="J843" s="8"/>
      <c r="K843" s="8"/>
      <c r="L843" s="8"/>
      <c r="M843" s="8"/>
      <c r="N843" s="8"/>
      <c r="O843" s="8"/>
      <c r="P843" s="9"/>
      <c r="Q843" s="9"/>
      <c r="R843" s="9"/>
      <c r="S843" s="8"/>
      <c r="T843" s="8"/>
      <c r="U843" s="8"/>
      <c r="V843" s="8"/>
      <c r="W843" s="8"/>
      <c r="X843" s="8"/>
      <c r="Y843" s="8"/>
      <c r="Z843" s="194"/>
      <c r="AA843" s="194"/>
      <c r="AB843" s="194"/>
      <c r="AC843" s="11"/>
      <c r="AD843" s="11"/>
      <c r="AE843" s="11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3"/>
      <c r="AY843" s="13"/>
      <c r="AZ843" s="13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</row>
    <row r="844" spans="1:63" ht="14.25" customHeight="1" x14ac:dyDescent="0.25">
      <c r="A844" s="9"/>
      <c r="B844" s="2"/>
      <c r="C844" s="3"/>
      <c r="D844" s="9"/>
      <c r="E844" s="9"/>
      <c r="F844" s="9"/>
      <c r="G844" s="9"/>
      <c r="H844" s="9"/>
      <c r="I844" s="8"/>
      <c r="J844" s="8"/>
      <c r="K844" s="8"/>
      <c r="L844" s="8"/>
      <c r="M844" s="8"/>
      <c r="N844" s="8"/>
      <c r="O844" s="8"/>
      <c r="P844" s="9"/>
      <c r="Q844" s="9"/>
      <c r="R844" s="9"/>
      <c r="S844" s="8"/>
      <c r="T844" s="8"/>
      <c r="U844" s="8"/>
      <c r="V844" s="8"/>
      <c r="W844" s="8"/>
      <c r="X844" s="8"/>
      <c r="Y844" s="8"/>
      <c r="Z844" s="194"/>
      <c r="AA844" s="194"/>
      <c r="AB844" s="194"/>
      <c r="AC844" s="11"/>
      <c r="AD844" s="11"/>
      <c r="AE844" s="11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3"/>
      <c r="AY844" s="13"/>
      <c r="AZ844" s="13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</row>
    <row r="845" spans="1:63" ht="14.25" customHeight="1" x14ac:dyDescent="0.25">
      <c r="A845" s="9"/>
      <c r="B845" s="2"/>
      <c r="C845" s="3"/>
      <c r="D845" s="9"/>
      <c r="E845" s="9"/>
      <c r="F845" s="9"/>
      <c r="G845" s="9"/>
      <c r="H845" s="9"/>
      <c r="I845" s="8"/>
      <c r="J845" s="8"/>
      <c r="K845" s="8"/>
      <c r="L845" s="8"/>
      <c r="M845" s="8"/>
      <c r="N845" s="8"/>
      <c r="O845" s="8"/>
      <c r="P845" s="9"/>
      <c r="Q845" s="9"/>
      <c r="R845" s="9"/>
      <c r="S845" s="8"/>
      <c r="T845" s="8"/>
      <c r="U845" s="8"/>
      <c r="V845" s="8"/>
      <c r="W845" s="8"/>
      <c r="X845" s="8"/>
      <c r="Y845" s="8"/>
      <c r="Z845" s="194"/>
      <c r="AA845" s="194"/>
      <c r="AB845" s="194"/>
      <c r="AC845" s="11"/>
      <c r="AD845" s="11"/>
      <c r="AE845" s="11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3"/>
      <c r="AY845" s="13"/>
      <c r="AZ845" s="13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</row>
    <row r="846" spans="1:63" ht="14.25" customHeight="1" x14ac:dyDescent="0.25">
      <c r="A846" s="9"/>
      <c r="B846" s="2"/>
      <c r="C846" s="3"/>
      <c r="D846" s="9"/>
      <c r="E846" s="9"/>
      <c r="F846" s="9"/>
      <c r="G846" s="9"/>
      <c r="H846" s="9"/>
      <c r="I846" s="8"/>
      <c r="J846" s="8"/>
      <c r="K846" s="8"/>
      <c r="L846" s="8"/>
      <c r="M846" s="8"/>
      <c r="N846" s="8"/>
      <c r="O846" s="8"/>
      <c r="P846" s="9"/>
      <c r="Q846" s="9"/>
      <c r="R846" s="9"/>
      <c r="S846" s="8"/>
      <c r="T846" s="8"/>
      <c r="U846" s="8"/>
      <c r="V846" s="8"/>
      <c r="W846" s="8"/>
      <c r="X846" s="8"/>
      <c r="Y846" s="8"/>
      <c r="Z846" s="194"/>
      <c r="AA846" s="194"/>
      <c r="AB846" s="194"/>
      <c r="AC846" s="11"/>
      <c r="AD846" s="11"/>
      <c r="AE846" s="11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3"/>
      <c r="AY846" s="13"/>
      <c r="AZ846" s="13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</row>
    <row r="847" spans="1:63" ht="14.25" customHeight="1" x14ac:dyDescent="0.25">
      <c r="A847" s="9"/>
      <c r="B847" s="2"/>
      <c r="C847" s="3"/>
      <c r="D847" s="9"/>
      <c r="E847" s="9"/>
      <c r="F847" s="9"/>
      <c r="G847" s="9"/>
      <c r="H847" s="9"/>
      <c r="I847" s="8"/>
      <c r="J847" s="8"/>
      <c r="K847" s="8"/>
      <c r="L847" s="8"/>
      <c r="M847" s="8"/>
      <c r="N847" s="8"/>
      <c r="O847" s="8"/>
      <c r="P847" s="9"/>
      <c r="Q847" s="9"/>
      <c r="R847" s="9"/>
      <c r="S847" s="8"/>
      <c r="T847" s="8"/>
      <c r="U847" s="8"/>
      <c r="V847" s="8"/>
      <c r="W847" s="8"/>
      <c r="X847" s="8"/>
      <c r="Y847" s="8"/>
      <c r="Z847" s="194"/>
      <c r="AA847" s="194"/>
      <c r="AB847" s="194"/>
      <c r="AC847" s="11"/>
      <c r="AD847" s="11"/>
      <c r="AE847" s="11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3"/>
      <c r="AY847" s="13"/>
      <c r="AZ847" s="13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</row>
    <row r="848" spans="1:63" ht="14.25" customHeight="1" x14ac:dyDescent="0.25">
      <c r="A848" s="9"/>
      <c r="B848" s="2"/>
      <c r="C848" s="3"/>
      <c r="D848" s="9"/>
      <c r="E848" s="9"/>
      <c r="F848" s="9"/>
      <c r="G848" s="9"/>
      <c r="H848" s="9"/>
      <c r="I848" s="8"/>
      <c r="J848" s="8"/>
      <c r="K848" s="8"/>
      <c r="L848" s="8"/>
      <c r="M848" s="8"/>
      <c r="N848" s="8"/>
      <c r="O848" s="8"/>
      <c r="P848" s="9"/>
      <c r="Q848" s="9"/>
      <c r="R848" s="9"/>
      <c r="S848" s="8"/>
      <c r="T848" s="8"/>
      <c r="U848" s="8"/>
      <c r="V848" s="8"/>
      <c r="W848" s="8"/>
      <c r="X848" s="8"/>
      <c r="Y848" s="8"/>
      <c r="Z848" s="194"/>
      <c r="AA848" s="194"/>
      <c r="AB848" s="194"/>
      <c r="AC848" s="11"/>
      <c r="AD848" s="11"/>
      <c r="AE848" s="11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3"/>
      <c r="AY848" s="13"/>
      <c r="AZ848" s="13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</row>
    <row r="849" spans="1:63" ht="14.25" customHeight="1" x14ac:dyDescent="0.25">
      <c r="A849" s="9"/>
      <c r="B849" s="2"/>
      <c r="C849" s="3"/>
      <c r="D849" s="9"/>
      <c r="E849" s="9"/>
      <c r="F849" s="9"/>
      <c r="G849" s="9"/>
      <c r="H849" s="9"/>
      <c r="I849" s="8"/>
      <c r="J849" s="8"/>
      <c r="K849" s="8"/>
      <c r="L849" s="8"/>
      <c r="M849" s="8"/>
      <c r="N849" s="8"/>
      <c r="O849" s="8"/>
      <c r="P849" s="9"/>
      <c r="Q849" s="9"/>
      <c r="R849" s="9"/>
      <c r="S849" s="8"/>
      <c r="T849" s="8"/>
      <c r="U849" s="8"/>
      <c r="V849" s="8"/>
      <c r="W849" s="8"/>
      <c r="X849" s="8"/>
      <c r="Y849" s="8"/>
      <c r="Z849" s="194"/>
      <c r="AA849" s="194"/>
      <c r="AB849" s="194"/>
      <c r="AC849" s="11"/>
      <c r="AD849" s="11"/>
      <c r="AE849" s="11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3"/>
      <c r="AY849" s="13"/>
      <c r="AZ849" s="13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</row>
    <row r="850" spans="1:63" ht="14.25" customHeight="1" x14ac:dyDescent="0.25">
      <c r="A850" s="9"/>
      <c r="B850" s="2"/>
      <c r="C850" s="3"/>
      <c r="D850" s="9"/>
      <c r="E850" s="9"/>
      <c r="F850" s="9"/>
      <c r="G850" s="9"/>
      <c r="H850" s="9"/>
      <c r="I850" s="8"/>
      <c r="J850" s="8"/>
      <c r="K850" s="8"/>
      <c r="L850" s="8"/>
      <c r="M850" s="8"/>
      <c r="N850" s="8"/>
      <c r="O850" s="8"/>
      <c r="P850" s="9"/>
      <c r="Q850" s="9"/>
      <c r="R850" s="9"/>
      <c r="S850" s="8"/>
      <c r="T850" s="8"/>
      <c r="U850" s="8"/>
      <c r="V850" s="8"/>
      <c r="W850" s="8"/>
      <c r="X850" s="8"/>
      <c r="Y850" s="8"/>
      <c r="Z850" s="194"/>
      <c r="AA850" s="194"/>
      <c r="AB850" s="194"/>
      <c r="AC850" s="11"/>
      <c r="AD850" s="11"/>
      <c r="AE850" s="11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3"/>
      <c r="AY850" s="13"/>
      <c r="AZ850" s="13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</row>
    <row r="851" spans="1:63" ht="14.25" customHeight="1" x14ac:dyDescent="0.25">
      <c r="A851" s="9"/>
      <c r="B851" s="2"/>
      <c r="C851" s="3"/>
      <c r="D851" s="9"/>
      <c r="E851" s="9"/>
      <c r="F851" s="9"/>
      <c r="G851" s="9"/>
      <c r="H851" s="9"/>
      <c r="I851" s="8"/>
      <c r="J851" s="8"/>
      <c r="K851" s="8"/>
      <c r="L851" s="8"/>
      <c r="M851" s="8"/>
      <c r="N851" s="8"/>
      <c r="O851" s="8"/>
      <c r="P851" s="9"/>
      <c r="Q851" s="9"/>
      <c r="R851" s="9"/>
      <c r="S851" s="8"/>
      <c r="T851" s="8"/>
      <c r="U851" s="8"/>
      <c r="V851" s="8"/>
      <c r="W851" s="8"/>
      <c r="X851" s="8"/>
      <c r="Y851" s="8"/>
      <c r="Z851" s="194"/>
      <c r="AA851" s="194"/>
      <c r="AB851" s="194"/>
      <c r="AC851" s="11"/>
      <c r="AD851" s="11"/>
      <c r="AE851" s="11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3"/>
      <c r="AY851" s="13"/>
      <c r="AZ851" s="13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</row>
    <row r="852" spans="1:63" ht="14.25" customHeight="1" x14ac:dyDescent="0.25">
      <c r="A852" s="9"/>
      <c r="B852" s="2"/>
      <c r="C852" s="3"/>
      <c r="D852" s="9"/>
      <c r="E852" s="9"/>
      <c r="F852" s="9"/>
      <c r="G852" s="9"/>
      <c r="H852" s="9"/>
      <c r="I852" s="8"/>
      <c r="J852" s="8"/>
      <c r="K852" s="8"/>
      <c r="L852" s="8"/>
      <c r="M852" s="8"/>
      <c r="N852" s="8"/>
      <c r="O852" s="8"/>
      <c r="P852" s="9"/>
      <c r="Q852" s="9"/>
      <c r="R852" s="9"/>
      <c r="S852" s="8"/>
      <c r="T852" s="8"/>
      <c r="U852" s="8"/>
      <c r="V852" s="8"/>
      <c r="W852" s="8"/>
      <c r="X852" s="8"/>
      <c r="Y852" s="8"/>
      <c r="Z852" s="194"/>
      <c r="AA852" s="194"/>
      <c r="AB852" s="194"/>
      <c r="AC852" s="11"/>
      <c r="AD852" s="11"/>
      <c r="AE852" s="11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3"/>
      <c r="AY852" s="13"/>
      <c r="AZ852" s="13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</row>
    <row r="853" spans="1:63" ht="14.25" customHeight="1" x14ac:dyDescent="0.25">
      <c r="A853" s="9"/>
      <c r="B853" s="2"/>
      <c r="C853" s="3"/>
      <c r="D853" s="9"/>
      <c r="E853" s="9"/>
      <c r="F853" s="9"/>
      <c r="G853" s="9"/>
      <c r="H853" s="9"/>
      <c r="I853" s="8"/>
      <c r="J853" s="8"/>
      <c r="K853" s="8"/>
      <c r="L853" s="8"/>
      <c r="M853" s="8"/>
      <c r="N853" s="8"/>
      <c r="O853" s="8"/>
      <c r="P853" s="9"/>
      <c r="Q853" s="9"/>
      <c r="R853" s="9"/>
      <c r="S853" s="8"/>
      <c r="T853" s="8"/>
      <c r="U853" s="8"/>
      <c r="V853" s="8"/>
      <c r="W853" s="8"/>
      <c r="X853" s="8"/>
      <c r="Y853" s="8"/>
      <c r="Z853" s="194"/>
      <c r="AA853" s="194"/>
      <c r="AB853" s="194"/>
      <c r="AC853" s="11"/>
      <c r="AD853" s="11"/>
      <c r="AE853" s="11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3"/>
      <c r="AY853" s="13"/>
      <c r="AZ853" s="13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</row>
    <row r="854" spans="1:63" ht="14.25" customHeight="1" x14ac:dyDescent="0.25">
      <c r="A854" s="9"/>
      <c r="B854" s="2"/>
      <c r="C854" s="3"/>
      <c r="D854" s="9"/>
      <c r="E854" s="9"/>
      <c r="F854" s="9"/>
      <c r="G854" s="9"/>
      <c r="H854" s="9"/>
      <c r="I854" s="8"/>
      <c r="J854" s="8"/>
      <c r="K854" s="8"/>
      <c r="L854" s="8"/>
      <c r="M854" s="8"/>
      <c r="N854" s="8"/>
      <c r="O854" s="8"/>
      <c r="P854" s="9"/>
      <c r="Q854" s="9"/>
      <c r="R854" s="9"/>
      <c r="S854" s="8"/>
      <c r="T854" s="8"/>
      <c r="U854" s="8"/>
      <c r="V854" s="8"/>
      <c r="W854" s="8"/>
      <c r="X854" s="8"/>
      <c r="Y854" s="8"/>
      <c r="Z854" s="194"/>
      <c r="AA854" s="194"/>
      <c r="AB854" s="194"/>
      <c r="AC854" s="11"/>
      <c r="AD854" s="11"/>
      <c r="AE854" s="11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3"/>
      <c r="AY854" s="13"/>
      <c r="AZ854" s="13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</row>
    <row r="855" spans="1:63" ht="14.25" customHeight="1" x14ac:dyDescent="0.25">
      <c r="A855" s="9"/>
      <c r="B855" s="2"/>
      <c r="C855" s="3"/>
      <c r="D855" s="9"/>
      <c r="E855" s="9"/>
      <c r="F855" s="9"/>
      <c r="G855" s="9"/>
      <c r="H855" s="9"/>
      <c r="I855" s="8"/>
      <c r="J855" s="8"/>
      <c r="K855" s="8"/>
      <c r="L855" s="8"/>
      <c r="M855" s="8"/>
      <c r="N855" s="8"/>
      <c r="O855" s="8"/>
      <c r="P855" s="9"/>
      <c r="Q855" s="9"/>
      <c r="R855" s="9"/>
      <c r="S855" s="8"/>
      <c r="T855" s="8"/>
      <c r="U855" s="8"/>
      <c r="V855" s="8"/>
      <c r="W855" s="8"/>
      <c r="X855" s="8"/>
      <c r="Y855" s="8"/>
      <c r="Z855" s="194"/>
      <c r="AA855" s="194"/>
      <c r="AB855" s="194"/>
      <c r="AC855" s="11"/>
      <c r="AD855" s="11"/>
      <c r="AE855" s="11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3"/>
      <c r="AY855" s="13"/>
      <c r="AZ855" s="13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</row>
    <row r="856" spans="1:63" ht="14.25" customHeight="1" x14ac:dyDescent="0.25">
      <c r="A856" s="9"/>
      <c r="B856" s="2"/>
      <c r="C856" s="3"/>
      <c r="D856" s="9"/>
      <c r="E856" s="9"/>
      <c r="F856" s="9"/>
      <c r="G856" s="9"/>
      <c r="H856" s="9"/>
      <c r="I856" s="8"/>
      <c r="J856" s="8"/>
      <c r="K856" s="8"/>
      <c r="L856" s="8"/>
      <c r="M856" s="8"/>
      <c r="N856" s="8"/>
      <c r="O856" s="8"/>
      <c r="P856" s="9"/>
      <c r="Q856" s="9"/>
      <c r="R856" s="9"/>
      <c r="S856" s="8"/>
      <c r="T856" s="8"/>
      <c r="U856" s="8"/>
      <c r="V856" s="8"/>
      <c r="W856" s="8"/>
      <c r="X856" s="8"/>
      <c r="Y856" s="8"/>
      <c r="Z856" s="194"/>
      <c r="AA856" s="194"/>
      <c r="AB856" s="194"/>
      <c r="AC856" s="11"/>
      <c r="AD856" s="11"/>
      <c r="AE856" s="11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3"/>
      <c r="AY856" s="13"/>
      <c r="AZ856" s="13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</row>
    <row r="857" spans="1:63" ht="14.25" customHeight="1" x14ac:dyDescent="0.25">
      <c r="A857" s="9"/>
      <c r="B857" s="2"/>
      <c r="C857" s="3"/>
      <c r="D857" s="9"/>
      <c r="E857" s="9"/>
      <c r="F857" s="9"/>
      <c r="G857" s="9"/>
      <c r="H857" s="9"/>
      <c r="I857" s="8"/>
      <c r="J857" s="8"/>
      <c r="K857" s="8"/>
      <c r="L857" s="8"/>
      <c r="M857" s="8"/>
      <c r="N857" s="8"/>
      <c r="O857" s="8"/>
      <c r="P857" s="9"/>
      <c r="Q857" s="9"/>
      <c r="R857" s="9"/>
      <c r="S857" s="8"/>
      <c r="T857" s="8"/>
      <c r="U857" s="8"/>
      <c r="V857" s="8"/>
      <c r="W857" s="8"/>
      <c r="X857" s="8"/>
      <c r="Y857" s="8"/>
      <c r="Z857" s="194"/>
      <c r="AA857" s="194"/>
      <c r="AB857" s="194"/>
      <c r="AC857" s="11"/>
      <c r="AD857" s="11"/>
      <c r="AE857" s="11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3"/>
      <c r="AY857" s="13"/>
      <c r="AZ857" s="13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</row>
    <row r="858" spans="1:63" ht="14.25" customHeight="1" x14ac:dyDescent="0.25">
      <c r="A858" s="9"/>
      <c r="B858" s="2"/>
      <c r="C858" s="3"/>
      <c r="D858" s="9"/>
      <c r="E858" s="9"/>
      <c r="F858" s="9"/>
      <c r="G858" s="9"/>
      <c r="H858" s="9"/>
      <c r="I858" s="8"/>
      <c r="J858" s="8"/>
      <c r="K858" s="8"/>
      <c r="L858" s="8"/>
      <c r="M858" s="8"/>
      <c r="N858" s="8"/>
      <c r="O858" s="8"/>
      <c r="P858" s="9"/>
      <c r="Q858" s="9"/>
      <c r="R858" s="9"/>
      <c r="S858" s="8"/>
      <c r="T858" s="8"/>
      <c r="U858" s="8"/>
      <c r="V858" s="8"/>
      <c r="W858" s="8"/>
      <c r="X858" s="8"/>
      <c r="Y858" s="8"/>
      <c r="Z858" s="194"/>
      <c r="AA858" s="194"/>
      <c r="AB858" s="194"/>
      <c r="AC858" s="11"/>
      <c r="AD858" s="11"/>
      <c r="AE858" s="11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3"/>
      <c r="AY858" s="13"/>
      <c r="AZ858" s="13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</row>
    <row r="859" spans="1:63" ht="14.25" customHeight="1" x14ac:dyDescent="0.25">
      <c r="A859" s="9"/>
      <c r="B859" s="2"/>
      <c r="C859" s="3"/>
      <c r="D859" s="9"/>
      <c r="E859" s="9"/>
      <c r="F859" s="9"/>
      <c r="G859" s="9"/>
      <c r="H859" s="9"/>
      <c r="I859" s="8"/>
      <c r="J859" s="8"/>
      <c r="K859" s="8"/>
      <c r="L859" s="8"/>
      <c r="M859" s="8"/>
      <c r="N859" s="8"/>
      <c r="O859" s="8"/>
      <c r="P859" s="9"/>
      <c r="Q859" s="9"/>
      <c r="R859" s="9"/>
      <c r="S859" s="8"/>
      <c r="T859" s="8"/>
      <c r="U859" s="8"/>
      <c r="V859" s="8"/>
      <c r="W859" s="8"/>
      <c r="X859" s="8"/>
      <c r="Y859" s="8"/>
      <c r="Z859" s="194"/>
      <c r="AA859" s="194"/>
      <c r="AB859" s="194"/>
      <c r="AC859" s="11"/>
      <c r="AD859" s="11"/>
      <c r="AE859" s="11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3"/>
      <c r="AY859" s="13"/>
      <c r="AZ859" s="13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</row>
    <row r="860" spans="1:63" ht="14.25" customHeight="1" x14ac:dyDescent="0.25">
      <c r="A860" s="9"/>
      <c r="B860" s="2"/>
      <c r="C860" s="3"/>
      <c r="D860" s="9"/>
      <c r="E860" s="9"/>
      <c r="F860" s="9"/>
      <c r="G860" s="9"/>
      <c r="H860" s="9"/>
      <c r="I860" s="8"/>
      <c r="J860" s="8"/>
      <c r="K860" s="8"/>
      <c r="L860" s="8"/>
      <c r="M860" s="8"/>
      <c r="N860" s="8"/>
      <c r="O860" s="8"/>
      <c r="P860" s="9"/>
      <c r="Q860" s="9"/>
      <c r="R860" s="9"/>
      <c r="S860" s="8"/>
      <c r="T860" s="8"/>
      <c r="U860" s="8"/>
      <c r="V860" s="8"/>
      <c r="W860" s="8"/>
      <c r="X860" s="8"/>
      <c r="Y860" s="8"/>
      <c r="Z860" s="194"/>
      <c r="AA860" s="194"/>
      <c r="AB860" s="194"/>
      <c r="AC860" s="11"/>
      <c r="AD860" s="11"/>
      <c r="AE860" s="11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3"/>
      <c r="AY860" s="13"/>
      <c r="AZ860" s="13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</row>
    <row r="861" spans="1:63" ht="14.25" customHeight="1" x14ac:dyDescent="0.25">
      <c r="A861" s="9"/>
      <c r="B861" s="2"/>
      <c r="C861" s="3"/>
      <c r="D861" s="9"/>
      <c r="E861" s="9"/>
      <c r="F861" s="9"/>
      <c r="G861" s="9"/>
      <c r="H861" s="9"/>
      <c r="I861" s="8"/>
      <c r="J861" s="8"/>
      <c r="K861" s="8"/>
      <c r="L861" s="8"/>
      <c r="M861" s="8"/>
      <c r="N861" s="8"/>
      <c r="O861" s="8"/>
      <c r="P861" s="9"/>
      <c r="Q861" s="9"/>
      <c r="R861" s="9"/>
      <c r="S861" s="8"/>
      <c r="T861" s="8"/>
      <c r="U861" s="8"/>
      <c r="V861" s="8"/>
      <c r="W861" s="8"/>
      <c r="X861" s="8"/>
      <c r="Y861" s="8"/>
      <c r="Z861" s="194"/>
      <c r="AA861" s="194"/>
      <c r="AB861" s="194"/>
      <c r="AC861" s="11"/>
      <c r="AD861" s="11"/>
      <c r="AE861" s="11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3"/>
      <c r="AY861" s="13"/>
      <c r="AZ861" s="13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</row>
    <row r="862" spans="1:63" ht="14.25" customHeight="1" x14ac:dyDescent="0.25">
      <c r="A862" s="9"/>
      <c r="B862" s="2"/>
      <c r="C862" s="3"/>
      <c r="D862" s="9"/>
      <c r="E862" s="9"/>
      <c r="F862" s="9"/>
      <c r="G862" s="9"/>
      <c r="H862" s="9"/>
      <c r="I862" s="8"/>
      <c r="J862" s="8"/>
      <c r="K862" s="8"/>
      <c r="L862" s="8"/>
      <c r="M862" s="8"/>
      <c r="N862" s="8"/>
      <c r="O862" s="8"/>
      <c r="P862" s="9"/>
      <c r="Q862" s="9"/>
      <c r="R862" s="9"/>
      <c r="S862" s="8"/>
      <c r="T862" s="8"/>
      <c r="U862" s="8"/>
      <c r="V862" s="8"/>
      <c r="W862" s="8"/>
      <c r="X862" s="8"/>
      <c r="Y862" s="8"/>
      <c r="Z862" s="194"/>
      <c r="AA862" s="194"/>
      <c r="AB862" s="194"/>
      <c r="AC862" s="11"/>
      <c r="AD862" s="11"/>
      <c r="AE862" s="11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3"/>
      <c r="AY862" s="13"/>
      <c r="AZ862" s="13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</row>
    <row r="863" spans="1:63" ht="14.25" customHeight="1" x14ac:dyDescent="0.25">
      <c r="A863" s="9"/>
      <c r="B863" s="2"/>
      <c r="C863" s="3"/>
      <c r="D863" s="9"/>
      <c r="E863" s="9"/>
      <c r="F863" s="9"/>
      <c r="G863" s="9"/>
      <c r="H863" s="9"/>
      <c r="I863" s="8"/>
      <c r="J863" s="8"/>
      <c r="K863" s="8"/>
      <c r="L863" s="8"/>
      <c r="M863" s="8"/>
      <c r="N863" s="8"/>
      <c r="O863" s="8"/>
      <c r="P863" s="9"/>
      <c r="Q863" s="9"/>
      <c r="R863" s="9"/>
      <c r="S863" s="8"/>
      <c r="T863" s="8"/>
      <c r="U863" s="8"/>
      <c r="V863" s="8"/>
      <c r="W863" s="8"/>
      <c r="X863" s="8"/>
      <c r="Y863" s="8"/>
      <c r="Z863" s="194"/>
      <c r="AA863" s="194"/>
      <c r="AB863" s="194"/>
      <c r="AC863" s="11"/>
      <c r="AD863" s="11"/>
      <c r="AE863" s="11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3"/>
      <c r="AY863" s="13"/>
      <c r="AZ863" s="13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</row>
    <row r="864" spans="1:63" ht="14.25" customHeight="1" x14ac:dyDescent="0.25">
      <c r="A864" s="9"/>
      <c r="B864" s="2"/>
      <c r="C864" s="3"/>
      <c r="D864" s="9"/>
      <c r="E864" s="9"/>
      <c r="F864" s="9"/>
      <c r="G864" s="9"/>
      <c r="H864" s="9"/>
      <c r="I864" s="8"/>
      <c r="J864" s="8"/>
      <c r="K864" s="8"/>
      <c r="L864" s="8"/>
      <c r="M864" s="8"/>
      <c r="N864" s="8"/>
      <c r="O864" s="8"/>
      <c r="P864" s="9"/>
      <c r="Q864" s="9"/>
      <c r="R864" s="9"/>
      <c r="S864" s="8"/>
      <c r="T864" s="8"/>
      <c r="U864" s="8"/>
      <c r="V864" s="8"/>
      <c r="W864" s="8"/>
      <c r="X864" s="8"/>
      <c r="Y864" s="8"/>
      <c r="Z864" s="194"/>
      <c r="AA864" s="194"/>
      <c r="AB864" s="194"/>
      <c r="AC864" s="11"/>
      <c r="AD864" s="11"/>
      <c r="AE864" s="11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3"/>
      <c r="AY864" s="13"/>
      <c r="AZ864" s="13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</row>
    <row r="865" spans="1:63" ht="14.25" customHeight="1" x14ac:dyDescent="0.25">
      <c r="A865" s="9"/>
      <c r="B865" s="2"/>
      <c r="C865" s="3"/>
      <c r="D865" s="9"/>
      <c r="E865" s="9"/>
      <c r="F865" s="9"/>
      <c r="G865" s="9"/>
      <c r="H865" s="9"/>
      <c r="I865" s="8"/>
      <c r="J865" s="8"/>
      <c r="K865" s="8"/>
      <c r="L865" s="8"/>
      <c r="M865" s="8"/>
      <c r="N865" s="8"/>
      <c r="O865" s="8"/>
      <c r="P865" s="9"/>
      <c r="Q865" s="9"/>
      <c r="R865" s="9"/>
      <c r="S865" s="8"/>
      <c r="T865" s="8"/>
      <c r="U865" s="8"/>
      <c r="V865" s="8"/>
      <c r="W865" s="8"/>
      <c r="X865" s="8"/>
      <c r="Y865" s="8"/>
      <c r="Z865" s="194"/>
      <c r="AA865" s="194"/>
      <c r="AB865" s="194"/>
      <c r="AC865" s="11"/>
      <c r="AD865" s="11"/>
      <c r="AE865" s="11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3"/>
      <c r="AY865" s="13"/>
      <c r="AZ865" s="13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</row>
    <row r="866" spans="1:63" ht="14.25" customHeight="1" x14ac:dyDescent="0.25">
      <c r="A866" s="9"/>
      <c r="B866" s="2"/>
      <c r="C866" s="3"/>
      <c r="D866" s="9"/>
      <c r="E866" s="9"/>
      <c r="F866" s="9"/>
      <c r="G866" s="9"/>
      <c r="H866" s="9"/>
      <c r="I866" s="8"/>
      <c r="J866" s="8"/>
      <c r="K866" s="8"/>
      <c r="L866" s="8"/>
      <c r="M866" s="8"/>
      <c r="N866" s="8"/>
      <c r="O866" s="8"/>
      <c r="P866" s="9"/>
      <c r="Q866" s="9"/>
      <c r="R866" s="9"/>
      <c r="S866" s="8"/>
      <c r="T866" s="8"/>
      <c r="U866" s="8"/>
      <c r="V866" s="8"/>
      <c r="W866" s="8"/>
      <c r="X866" s="8"/>
      <c r="Y866" s="8"/>
      <c r="Z866" s="194"/>
      <c r="AA866" s="194"/>
      <c r="AB866" s="194"/>
      <c r="AC866" s="11"/>
      <c r="AD866" s="11"/>
      <c r="AE866" s="11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3"/>
      <c r="AY866" s="13"/>
      <c r="AZ866" s="13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</row>
    <row r="867" spans="1:63" ht="14.25" customHeight="1" x14ac:dyDescent="0.25">
      <c r="A867" s="9"/>
      <c r="B867" s="2"/>
      <c r="C867" s="3"/>
      <c r="D867" s="9"/>
      <c r="E867" s="9"/>
      <c r="F867" s="9"/>
      <c r="G867" s="9"/>
      <c r="H867" s="9"/>
      <c r="I867" s="8"/>
      <c r="J867" s="8"/>
      <c r="K867" s="8"/>
      <c r="L867" s="8"/>
      <c r="M867" s="8"/>
      <c r="N867" s="8"/>
      <c r="O867" s="8"/>
      <c r="P867" s="9"/>
      <c r="Q867" s="9"/>
      <c r="R867" s="9"/>
      <c r="S867" s="8"/>
      <c r="T867" s="8"/>
      <c r="U867" s="8"/>
      <c r="V867" s="8"/>
      <c r="W867" s="8"/>
      <c r="X867" s="8"/>
      <c r="Y867" s="8"/>
      <c r="Z867" s="194"/>
      <c r="AA867" s="194"/>
      <c r="AB867" s="194"/>
      <c r="AC867" s="11"/>
      <c r="AD867" s="11"/>
      <c r="AE867" s="11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3"/>
      <c r="AY867" s="13"/>
      <c r="AZ867" s="13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</row>
    <row r="868" spans="1:63" ht="14.25" customHeight="1" x14ac:dyDescent="0.25">
      <c r="A868" s="9"/>
      <c r="B868" s="2"/>
      <c r="C868" s="3"/>
      <c r="D868" s="9"/>
      <c r="E868" s="9"/>
      <c r="F868" s="9"/>
      <c r="G868" s="9"/>
      <c r="H868" s="9"/>
      <c r="I868" s="8"/>
      <c r="J868" s="8"/>
      <c r="K868" s="8"/>
      <c r="L868" s="8"/>
      <c r="M868" s="8"/>
      <c r="N868" s="8"/>
      <c r="O868" s="8"/>
      <c r="P868" s="9"/>
      <c r="Q868" s="9"/>
      <c r="R868" s="9"/>
      <c r="S868" s="8"/>
      <c r="T868" s="8"/>
      <c r="U868" s="8"/>
      <c r="V868" s="8"/>
      <c r="W868" s="8"/>
      <c r="X868" s="8"/>
      <c r="Y868" s="8"/>
      <c r="Z868" s="194"/>
      <c r="AA868" s="194"/>
      <c r="AB868" s="194"/>
      <c r="AC868" s="11"/>
      <c r="AD868" s="11"/>
      <c r="AE868" s="11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3"/>
      <c r="AY868" s="13"/>
      <c r="AZ868" s="13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</row>
    <row r="869" spans="1:63" ht="14.25" customHeight="1" x14ac:dyDescent="0.25">
      <c r="A869" s="9"/>
      <c r="B869" s="2"/>
      <c r="C869" s="3"/>
      <c r="D869" s="9"/>
      <c r="E869" s="9"/>
      <c r="F869" s="9"/>
      <c r="G869" s="9"/>
      <c r="H869" s="9"/>
      <c r="I869" s="8"/>
      <c r="J869" s="8"/>
      <c r="K869" s="8"/>
      <c r="L869" s="8"/>
      <c r="M869" s="8"/>
      <c r="N869" s="8"/>
      <c r="O869" s="8"/>
      <c r="P869" s="9"/>
      <c r="Q869" s="9"/>
      <c r="R869" s="9"/>
      <c r="S869" s="8"/>
      <c r="T869" s="8"/>
      <c r="U869" s="8"/>
      <c r="V869" s="8"/>
      <c r="W869" s="8"/>
      <c r="X869" s="8"/>
      <c r="Y869" s="8"/>
      <c r="Z869" s="194"/>
      <c r="AA869" s="194"/>
      <c r="AB869" s="194"/>
      <c r="AC869" s="11"/>
      <c r="AD869" s="11"/>
      <c r="AE869" s="11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3"/>
      <c r="AY869" s="13"/>
      <c r="AZ869" s="13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</row>
    <row r="870" spans="1:63" ht="14.25" customHeight="1" x14ac:dyDescent="0.25">
      <c r="A870" s="9"/>
      <c r="B870" s="2"/>
      <c r="C870" s="3"/>
      <c r="D870" s="9"/>
      <c r="E870" s="9"/>
      <c r="F870" s="9"/>
      <c r="G870" s="9"/>
      <c r="H870" s="9"/>
      <c r="I870" s="8"/>
      <c r="J870" s="8"/>
      <c r="K870" s="8"/>
      <c r="L870" s="8"/>
      <c r="M870" s="8"/>
      <c r="N870" s="8"/>
      <c r="O870" s="8"/>
      <c r="P870" s="9"/>
      <c r="Q870" s="9"/>
      <c r="R870" s="9"/>
      <c r="S870" s="8"/>
      <c r="T870" s="8"/>
      <c r="U870" s="8"/>
      <c r="V870" s="8"/>
      <c r="W870" s="8"/>
      <c r="X870" s="8"/>
      <c r="Y870" s="8"/>
      <c r="Z870" s="194"/>
      <c r="AA870" s="194"/>
      <c r="AB870" s="194"/>
      <c r="AC870" s="11"/>
      <c r="AD870" s="11"/>
      <c r="AE870" s="11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3"/>
      <c r="AY870" s="13"/>
      <c r="AZ870" s="13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</row>
    <row r="871" spans="1:63" ht="14.25" customHeight="1" x14ac:dyDescent="0.25">
      <c r="A871" s="9"/>
      <c r="B871" s="2"/>
      <c r="C871" s="3"/>
      <c r="D871" s="9"/>
      <c r="E871" s="9"/>
      <c r="F871" s="9"/>
      <c r="G871" s="9"/>
      <c r="H871" s="9"/>
      <c r="I871" s="8"/>
      <c r="J871" s="8"/>
      <c r="K871" s="8"/>
      <c r="L871" s="8"/>
      <c r="M871" s="8"/>
      <c r="N871" s="8"/>
      <c r="O871" s="8"/>
      <c r="P871" s="9"/>
      <c r="Q871" s="9"/>
      <c r="R871" s="9"/>
      <c r="S871" s="8"/>
      <c r="T871" s="8"/>
      <c r="U871" s="8"/>
      <c r="V871" s="8"/>
      <c r="W871" s="8"/>
      <c r="X871" s="8"/>
      <c r="Y871" s="8"/>
      <c r="Z871" s="194"/>
      <c r="AA871" s="194"/>
      <c r="AB871" s="194"/>
      <c r="AC871" s="11"/>
      <c r="AD871" s="11"/>
      <c r="AE871" s="11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3"/>
      <c r="AY871" s="13"/>
      <c r="AZ871" s="13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</row>
    <row r="872" spans="1:63" ht="14.25" customHeight="1" x14ac:dyDescent="0.25">
      <c r="A872" s="9"/>
      <c r="B872" s="2"/>
      <c r="C872" s="3"/>
      <c r="D872" s="9"/>
      <c r="E872" s="9"/>
      <c r="F872" s="9"/>
      <c r="G872" s="9"/>
      <c r="H872" s="9"/>
      <c r="I872" s="8"/>
      <c r="J872" s="8"/>
      <c r="K872" s="8"/>
      <c r="L872" s="8"/>
      <c r="M872" s="8"/>
      <c r="N872" s="8"/>
      <c r="O872" s="8"/>
      <c r="P872" s="9"/>
      <c r="Q872" s="9"/>
      <c r="R872" s="9"/>
      <c r="S872" s="8"/>
      <c r="T872" s="8"/>
      <c r="U872" s="8"/>
      <c r="V872" s="8"/>
      <c r="W872" s="8"/>
      <c r="X872" s="8"/>
      <c r="Y872" s="8"/>
      <c r="Z872" s="194"/>
      <c r="AA872" s="194"/>
      <c r="AB872" s="194"/>
      <c r="AC872" s="11"/>
      <c r="AD872" s="11"/>
      <c r="AE872" s="11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3"/>
      <c r="AY872" s="13"/>
      <c r="AZ872" s="13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</row>
    <row r="873" spans="1:63" ht="14.25" customHeight="1" x14ac:dyDescent="0.25">
      <c r="A873" s="9"/>
      <c r="B873" s="2"/>
      <c r="C873" s="3"/>
      <c r="D873" s="9"/>
      <c r="E873" s="9"/>
      <c r="F873" s="9"/>
      <c r="G873" s="9"/>
      <c r="H873" s="9"/>
      <c r="I873" s="8"/>
      <c r="J873" s="8"/>
      <c r="K873" s="8"/>
      <c r="L873" s="8"/>
      <c r="M873" s="8"/>
      <c r="N873" s="8"/>
      <c r="O873" s="8"/>
      <c r="P873" s="9"/>
      <c r="Q873" s="9"/>
      <c r="R873" s="9"/>
      <c r="S873" s="8"/>
      <c r="T873" s="8"/>
      <c r="U873" s="8"/>
      <c r="V873" s="8"/>
      <c r="W873" s="8"/>
      <c r="X873" s="8"/>
      <c r="Y873" s="8"/>
      <c r="Z873" s="194"/>
      <c r="AA873" s="194"/>
      <c r="AB873" s="194"/>
      <c r="AC873" s="11"/>
      <c r="AD873" s="11"/>
      <c r="AE873" s="11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3"/>
      <c r="AY873" s="13"/>
      <c r="AZ873" s="13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</row>
    <row r="874" spans="1:63" ht="14.25" customHeight="1" x14ac:dyDescent="0.25">
      <c r="A874" s="9"/>
      <c r="B874" s="2"/>
      <c r="C874" s="3"/>
      <c r="D874" s="9"/>
      <c r="E874" s="9"/>
      <c r="F874" s="9"/>
      <c r="G874" s="9"/>
      <c r="H874" s="9"/>
      <c r="I874" s="8"/>
      <c r="J874" s="8"/>
      <c r="K874" s="8"/>
      <c r="L874" s="8"/>
      <c r="M874" s="8"/>
      <c r="N874" s="8"/>
      <c r="O874" s="8"/>
      <c r="P874" s="9"/>
      <c r="Q874" s="9"/>
      <c r="R874" s="9"/>
      <c r="S874" s="8"/>
      <c r="T874" s="8"/>
      <c r="U874" s="8"/>
      <c r="V874" s="8"/>
      <c r="W874" s="8"/>
      <c r="X874" s="8"/>
      <c r="Y874" s="8"/>
      <c r="Z874" s="194"/>
      <c r="AA874" s="194"/>
      <c r="AB874" s="194"/>
      <c r="AC874" s="11"/>
      <c r="AD874" s="11"/>
      <c r="AE874" s="11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3"/>
      <c r="AY874" s="13"/>
      <c r="AZ874" s="13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</row>
    <row r="875" spans="1:63" ht="14.25" customHeight="1" x14ac:dyDescent="0.25">
      <c r="A875" s="9"/>
      <c r="B875" s="2"/>
      <c r="C875" s="3"/>
      <c r="D875" s="9"/>
      <c r="E875" s="9"/>
      <c r="F875" s="9"/>
      <c r="G875" s="9"/>
      <c r="H875" s="9"/>
      <c r="I875" s="8"/>
      <c r="J875" s="8"/>
      <c r="K875" s="8"/>
      <c r="L875" s="8"/>
      <c r="M875" s="8"/>
      <c r="N875" s="8"/>
      <c r="O875" s="8"/>
      <c r="P875" s="9"/>
      <c r="Q875" s="9"/>
      <c r="R875" s="9"/>
      <c r="S875" s="8"/>
      <c r="T875" s="8"/>
      <c r="U875" s="8"/>
      <c r="V875" s="8"/>
      <c r="W875" s="8"/>
      <c r="X875" s="8"/>
      <c r="Y875" s="8"/>
      <c r="Z875" s="194"/>
      <c r="AA875" s="194"/>
      <c r="AB875" s="194"/>
      <c r="AC875" s="11"/>
      <c r="AD875" s="11"/>
      <c r="AE875" s="11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3"/>
      <c r="AY875" s="13"/>
      <c r="AZ875" s="13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</row>
    <row r="876" spans="1:63" ht="14.25" customHeight="1" x14ac:dyDescent="0.25">
      <c r="A876" s="9"/>
      <c r="B876" s="2"/>
      <c r="C876" s="3"/>
      <c r="D876" s="9"/>
      <c r="E876" s="9"/>
      <c r="F876" s="9"/>
      <c r="G876" s="9"/>
      <c r="H876" s="9"/>
      <c r="I876" s="8"/>
      <c r="J876" s="8"/>
      <c r="K876" s="8"/>
      <c r="L876" s="8"/>
      <c r="M876" s="8"/>
      <c r="N876" s="8"/>
      <c r="O876" s="8"/>
      <c r="P876" s="9"/>
      <c r="Q876" s="9"/>
      <c r="R876" s="9"/>
      <c r="S876" s="8"/>
      <c r="T876" s="8"/>
      <c r="U876" s="8"/>
      <c r="V876" s="8"/>
      <c r="W876" s="8"/>
      <c r="X876" s="8"/>
      <c r="Y876" s="8"/>
      <c r="Z876" s="194"/>
      <c r="AA876" s="194"/>
      <c r="AB876" s="194"/>
      <c r="AC876" s="11"/>
      <c r="AD876" s="11"/>
      <c r="AE876" s="11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3"/>
      <c r="AY876" s="13"/>
      <c r="AZ876" s="13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</row>
    <row r="877" spans="1:63" ht="14.25" customHeight="1" x14ac:dyDescent="0.25">
      <c r="A877" s="9"/>
      <c r="B877" s="2"/>
      <c r="C877" s="3"/>
      <c r="D877" s="9"/>
      <c r="E877" s="9"/>
      <c r="F877" s="9"/>
      <c r="G877" s="9"/>
      <c r="H877" s="9"/>
      <c r="I877" s="8"/>
      <c r="J877" s="8"/>
      <c r="K877" s="8"/>
      <c r="L877" s="8"/>
      <c r="M877" s="8"/>
      <c r="N877" s="8"/>
      <c r="O877" s="8"/>
      <c r="P877" s="9"/>
      <c r="Q877" s="9"/>
      <c r="R877" s="9"/>
      <c r="S877" s="8"/>
      <c r="T877" s="8"/>
      <c r="U877" s="8"/>
      <c r="V877" s="8"/>
      <c r="W877" s="8"/>
      <c r="X877" s="8"/>
      <c r="Y877" s="8"/>
      <c r="Z877" s="194"/>
      <c r="AA877" s="194"/>
      <c r="AB877" s="194"/>
      <c r="AC877" s="11"/>
      <c r="AD877" s="11"/>
      <c r="AE877" s="11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3"/>
      <c r="AY877" s="13"/>
      <c r="AZ877" s="13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</row>
    <row r="878" spans="1:63" ht="14.25" customHeight="1" x14ac:dyDescent="0.25">
      <c r="A878" s="9"/>
      <c r="B878" s="2"/>
      <c r="C878" s="3"/>
      <c r="D878" s="9"/>
      <c r="E878" s="9"/>
      <c r="F878" s="9"/>
      <c r="G878" s="9"/>
      <c r="H878" s="9"/>
      <c r="I878" s="8"/>
      <c r="J878" s="8"/>
      <c r="K878" s="8"/>
      <c r="L878" s="8"/>
      <c r="M878" s="8"/>
      <c r="N878" s="8"/>
      <c r="O878" s="8"/>
      <c r="P878" s="9"/>
      <c r="Q878" s="9"/>
      <c r="R878" s="9"/>
      <c r="S878" s="8"/>
      <c r="T878" s="8"/>
      <c r="U878" s="8"/>
      <c r="V878" s="8"/>
      <c r="W878" s="8"/>
      <c r="X878" s="8"/>
      <c r="Y878" s="8"/>
      <c r="Z878" s="194"/>
      <c r="AA878" s="194"/>
      <c r="AB878" s="194"/>
      <c r="AC878" s="11"/>
      <c r="AD878" s="11"/>
      <c r="AE878" s="11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3"/>
      <c r="AY878" s="13"/>
      <c r="AZ878" s="13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</row>
    <row r="879" spans="1:63" ht="14.25" customHeight="1" x14ac:dyDescent="0.25">
      <c r="A879" s="9"/>
      <c r="B879" s="2"/>
      <c r="C879" s="3"/>
      <c r="D879" s="9"/>
      <c r="E879" s="9"/>
      <c r="F879" s="9"/>
      <c r="G879" s="9"/>
      <c r="H879" s="9"/>
      <c r="I879" s="8"/>
      <c r="J879" s="8"/>
      <c r="K879" s="8"/>
      <c r="L879" s="8"/>
      <c r="M879" s="8"/>
      <c r="N879" s="8"/>
      <c r="O879" s="8"/>
      <c r="P879" s="9"/>
      <c r="Q879" s="9"/>
      <c r="R879" s="9"/>
      <c r="S879" s="8"/>
      <c r="T879" s="8"/>
      <c r="U879" s="8"/>
      <c r="V879" s="8"/>
      <c r="W879" s="8"/>
      <c r="X879" s="8"/>
      <c r="Y879" s="8"/>
      <c r="Z879" s="194"/>
      <c r="AA879" s="194"/>
      <c r="AB879" s="194"/>
      <c r="AC879" s="11"/>
      <c r="AD879" s="11"/>
      <c r="AE879" s="11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3"/>
      <c r="AY879" s="13"/>
      <c r="AZ879" s="13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</row>
    <row r="880" spans="1:63" ht="14.25" customHeight="1" x14ac:dyDescent="0.25">
      <c r="A880" s="9"/>
      <c r="B880" s="2"/>
      <c r="C880" s="3"/>
      <c r="D880" s="9"/>
      <c r="E880" s="9"/>
      <c r="F880" s="9"/>
      <c r="G880" s="9"/>
      <c r="H880" s="9"/>
      <c r="I880" s="8"/>
      <c r="J880" s="8"/>
      <c r="K880" s="8"/>
      <c r="L880" s="8"/>
      <c r="M880" s="8"/>
      <c r="N880" s="8"/>
      <c r="O880" s="8"/>
      <c r="P880" s="9"/>
      <c r="Q880" s="9"/>
      <c r="R880" s="9"/>
      <c r="S880" s="8"/>
      <c r="T880" s="8"/>
      <c r="U880" s="8"/>
      <c r="V880" s="8"/>
      <c r="W880" s="8"/>
      <c r="X880" s="8"/>
      <c r="Y880" s="8"/>
      <c r="Z880" s="194"/>
      <c r="AA880" s="194"/>
      <c r="AB880" s="194"/>
      <c r="AC880" s="11"/>
      <c r="AD880" s="11"/>
      <c r="AE880" s="11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3"/>
      <c r="AY880" s="13"/>
      <c r="AZ880" s="13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</row>
    <row r="881" spans="1:63" ht="14.25" customHeight="1" x14ac:dyDescent="0.25">
      <c r="A881" s="9"/>
      <c r="B881" s="2"/>
      <c r="C881" s="3"/>
      <c r="D881" s="9"/>
      <c r="E881" s="9"/>
      <c r="F881" s="9"/>
      <c r="G881" s="9"/>
      <c r="H881" s="9"/>
      <c r="I881" s="8"/>
      <c r="J881" s="8"/>
      <c r="K881" s="8"/>
      <c r="L881" s="8"/>
      <c r="M881" s="8"/>
      <c r="N881" s="8"/>
      <c r="O881" s="8"/>
      <c r="P881" s="9"/>
      <c r="Q881" s="9"/>
      <c r="R881" s="9"/>
      <c r="S881" s="8"/>
      <c r="T881" s="8"/>
      <c r="U881" s="8"/>
      <c r="V881" s="8"/>
      <c r="W881" s="8"/>
      <c r="X881" s="8"/>
      <c r="Y881" s="8"/>
      <c r="Z881" s="194"/>
      <c r="AA881" s="194"/>
      <c r="AB881" s="194"/>
      <c r="AC881" s="11"/>
      <c r="AD881" s="11"/>
      <c r="AE881" s="11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3"/>
      <c r="AY881" s="13"/>
      <c r="AZ881" s="13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</row>
    <row r="882" spans="1:63" ht="14.25" customHeight="1" x14ac:dyDescent="0.25">
      <c r="A882" s="9"/>
      <c r="B882" s="2"/>
      <c r="C882" s="3"/>
      <c r="D882" s="9"/>
      <c r="E882" s="9"/>
      <c r="F882" s="9"/>
      <c r="G882" s="9"/>
      <c r="H882" s="9"/>
      <c r="I882" s="8"/>
      <c r="J882" s="8"/>
      <c r="K882" s="8"/>
      <c r="L882" s="8"/>
      <c r="M882" s="8"/>
      <c r="N882" s="8"/>
      <c r="O882" s="8"/>
      <c r="P882" s="9"/>
      <c r="Q882" s="9"/>
      <c r="R882" s="9"/>
      <c r="S882" s="8"/>
      <c r="T882" s="8"/>
      <c r="U882" s="8"/>
      <c r="V882" s="8"/>
      <c r="W882" s="8"/>
      <c r="X882" s="8"/>
      <c r="Y882" s="8"/>
      <c r="Z882" s="194"/>
      <c r="AA882" s="194"/>
      <c r="AB882" s="194"/>
      <c r="AC882" s="11"/>
      <c r="AD882" s="11"/>
      <c r="AE882" s="11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3"/>
      <c r="AY882" s="13"/>
      <c r="AZ882" s="13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</row>
    <row r="883" spans="1:63" ht="14.25" customHeight="1" x14ac:dyDescent="0.25">
      <c r="A883" s="9"/>
      <c r="B883" s="2"/>
      <c r="C883" s="3"/>
      <c r="D883" s="9"/>
      <c r="E883" s="9"/>
      <c r="F883" s="9"/>
      <c r="G883" s="9"/>
      <c r="H883" s="9"/>
      <c r="I883" s="8"/>
      <c r="J883" s="8"/>
      <c r="K883" s="8"/>
      <c r="L883" s="8"/>
      <c r="M883" s="8"/>
      <c r="N883" s="8"/>
      <c r="O883" s="8"/>
      <c r="P883" s="9"/>
      <c r="Q883" s="9"/>
      <c r="R883" s="9"/>
      <c r="S883" s="8"/>
      <c r="T883" s="8"/>
      <c r="U883" s="8"/>
      <c r="V883" s="8"/>
      <c r="W883" s="8"/>
      <c r="X883" s="8"/>
      <c r="Y883" s="8"/>
      <c r="Z883" s="194"/>
      <c r="AA883" s="194"/>
      <c r="AB883" s="194"/>
      <c r="AC883" s="11"/>
      <c r="AD883" s="11"/>
      <c r="AE883" s="11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3"/>
      <c r="AY883" s="13"/>
      <c r="AZ883" s="13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</row>
    <row r="884" spans="1:63" ht="14.25" customHeight="1" x14ac:dyDescent="0.25">
      <c r="A884" s="9"/>
      <c r="B884" s="2"/>
      <c r="C884" s="3"/>
      <c r="D884" s="9"/>
      <c r="E884" s="9"/>
      <c r="F884" s="9"/>
      <c r="G884" s="9"/>
      <c r="H884" s="9"/>
      <c r="I884" s="8"/>
      <c r="J884" s="8"/>
      <c r="K884" s="8"/>
      <c r="L884" s="8"/>
      <c r="M884" s="8"/>
      <c r="N884" s="8"/>
      <c r="O884" s="8"/>
      <c r="P884" s="9"/>
      <c r="Q884" s="9"/>
      <c r="R884" s="9"/>
      <c r="S884" s="8"/>
      <c r="T884" s="8"/>
      <c r="U884" s="8"/>
      <c r="V884" s="8"/>
      <c r="W884" s="8"/>
      <c r="X884" s="8"/>
      <c r="Y884" s="8"/>
      <c r="Z884" s="194"/>
      <c r="AA884" s="194"/>
      <c r="AB884" s="194"/>
      <c r="AC884" s="11"/>
      <c r="AD884" s="11"/>
      <c r="AE884" s="11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3"/>
      <c r="AY884" s="13"/>
      <c r="AZ884" s="13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</row>
    <row r="885" spans="1:63" ht="14.25" customHeight="1" x14ac:dyDescent="0.25">
      <c r="A885" s="9"/>
      <c r="B885" s="2"/>
      <c r="C885" s="3"/>
      <c r="D885" s="9"/>
      <c r="E885" s="9"/>
      <c r="F885" s="9"/>
      <c r="G885" s="9"/>
      <c r="H885" s="9"/>
      <c r="I885" s="8"/>
      <c r="J885" s="8"/>
      <c r="K885" s="8"/>
      <c r="L885" s="8"/>
      <c r="M885" s="8"/>
      <c r="N885" s="8"/>
      <c r="O885" s="8"/>
      <c r="P885" s="9"/>
      <c r="Q885" s="9"/>
      <c r="R885" s="9"/>
      <c r="S885" s="8"/>
      <c r="T885" s="8"/>
      <c r="U885" s="8"/>
      <c r="V885" s="8"/>
      <c r="W885" s="8"/>
      <c r="X885" s="8"/>
      <c r="Y885" s="8"/>
      <c r="Z885" s="194"/>
      <c r="AA885" s="194"/>
      <c r="AB885" s="194"/>
      <c r="AC885" s="11"/>
      <c r="AD885" s="11"/>
      <c r="AE885" s="11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3"/>
      <c r="AY885" s="13"/>
      <c r="AZ885" s="13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</row>
    <row r="886" spans="1:63" ht="14.25" customHeight="1" x14ac:dyDescent="0.25">
      <c r="A886" s="9"/>
      <c r="B886" s="2"/>
      <c r="C886" s="3"/>
      <c r="D886" s="9"/>
      <c r="E886" s="9"/>
      <c r="F886" s="9"/>
      <c r="G886" s="9"/>
      <c r="H886" s="9"/>
      <c r="I886" s="8"/>
      <c r="J886" s="8"/>
      <c r="K886" s="8"/>
      <c r="L886" s="8"/>
      <c r="M886" s="8"/>
      <c r="N886" s="8"/>
      <c r="O886" s="8"/>
      <c r="P886" s="9"/>
      <c r="Q886" s="9"/>
      <c r="R886" s="9"/>
      <c r="S886" s="8"/>
      <c r="T886" s="8"/>
      <c r="U886" s="8"/>
      <c r="V886" s="8"/>
      <c r="W886" s="8"/>
      <c r="X886" s="8"/>
      <c r="Y886" s="8"/>
      <c r="Z886" s="194"/>
      <c r="AA886" s="194"/>
      <c r="AB886" s="194"/>
      <c r="AC886" s="11"/>
      <c r="AD886" s="11"/>
      <c r="AE886" s="11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3"/>
      <c r="AY886" s="13"/>
      <c r="AZ886" s="13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</row>
    <row r="887" spans="1:63" ht="14.25" customHeight="1" x14ac:dyDescent="0.25">
      <c r="A887" s="9"/>
      <c r="B887" s="2"/>
      <c r="C887" s="3"/>
      <c r="D887" s="9"/>
      <c r="E887" s="9"/>
      <c r="F887" s="9"/>
      <c r="G887" s="9"/>
      <c r="H887" s="9"/>
      <c r="I887" s="8"/>
      <c r="J887" s="8"/>
      <c r="K887" s="8"/>
      <c r="L887" s="8"/>
      <c r="M887" s="8"/>
      <c r="N887" s="8"/>
      <c r="O887" s="8"/>
      <c r="P887" s="9"/>
      <c r="Q887" s="9"/>
      <c r="R887" s="9"/>
      <c r="S887" s="8"/>
      <c r="T887" s="8"/>
      <c r="U887" s="8"/>
      <c r="V887" s="8"/>
      <c r="W887" s="8"/>
      <c r="X887" s="8"/>
      <c r="Y887" s="8"/>
      <c r="Z887" s="194"/>
      <c r="AA887" s="194"/>
      <c r="AB887" s="194"/>
      <c r="AC887" s="11"/>
      <c r="AD887" s="11"/>
      <c r="AE887" s="11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3"/>
      <c r="AY887" s="13"/>
      <c r="AZ887" s="13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</row>
    <row r="888" spans="1:63" ht="14.25" customHeight="1" x14ac:dyDescent="0.25">
      <c r="A888" s="9"/>
      <c r="B888" s="2"/>
      <c r="C888" s="3"/>
      <c r="D888" s="9"/>
      <c r="E888" s="9"/>
      <c r="F888" s="9"/>
      <c r="G888" s="9"/>
      <c r="H888" s="9"/>
      <c r="I888" s="8"/>
      <c r="J888" s="8"/>
      <c r="K888" s="8"/>
      <c r="L888" s="8"/>
      <c r="M888" s="8"/>
      <c r="N888" s="8"/>
      <c r="O888" s="8"/>
      <c r="P888" s="9"/>
      <c r="Q888" s="9"/>
      <c r="R888" s="9"/>
      <c r="S888" s="8"/>
      <c r="T888" s="8"/>
      <c r="U888" s="8"/>
      <c r="V888" s="8"/>
      <c r="W888" s="8"/>
      <c r="X888" s="8"/>
      <c r="Y888" s="8"/>
      <c r="Z888" s="194"/>
      <c r="AA888" s="194"/>
      <c r="AB888" s="194"/>
      <c r="AC888" s="11"/>
      <c r="AD888" s="11"/>
      <c r="AE888" s="11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3"/>
      <c r="AY888" s="13"/>
      <c r="AZ888" s="13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</row>
    <row r="889" spans="1:63" ht="14.25" customHeight="1" x14ac:dyDescent="0.25">
      <c r="A889" s="9"/>
      <c r="B889" s="2"/>
      <c r="C889" s="3"/>
      <c r="D889" s="9"/>
      <c r="E889" s="9"/>
      <c r="F889" s="9"/>
      <c r="G889" s="9"/>
      <c r="H889" s="9"/>
      <c r="I889" s="8"/>
      <c r="J889" s="8"/>
      <c r="K889" s="8"/>
      <c r="L889" s="8"/>
      <c r="M889" s="8"/>
      <c r="N889" s="8"/>
      <c r="O889" s="8"/>
      <c r="P889" s="9"/>
      <c r="Q889" s="9"/>
      <c r="R889" s="9"/>
      <c r="S889" s="8"/>
      <c r="T889" s="8"/>
      <c r="U889" s="8"/>
      <c r="V889" s="8"/>
      <c r="W889" s="8"/>
      <c r="X889" s="8"/>
      <c r="Y889" s="8"/>
      <c r="Z889" s="194"/>
      <c r="AA889" s="194"/>
      <c r="AB889" s="194"/>
      <c r="AC889" s="11"/>
      <c r="AD889" s="11"/>
      <c r="AE889" s="11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3"/>
      <c r="AY889" s="13"/>
      <c r="AZ889" s="13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</row>
    <row r="890" spans="1:63" ht="14.25" customHeight="1" x14ac:dyDescent="0.25">
      <c r="A890" s="9"/>
      <c r="B890" s="2"/>
      <c r="C890" s="3"/>
      <c r="D890" s="9"/>
      <c r="E890" s="9"/>
      <c r="F890" s="9"/>
      <c r="G890" s="9"/>
      <c r="H890" s="9"/>
      <c r="I890" s="8"/>
      <c r="J890" s="8"/>
      <c r="K890" s="8"/>
      <c r="L890" s="8"/>
      <c r="M890" s="8"/>
      <c r="N890" s="8"/>
      <c r="O890" s="8"/>
      <c r="P890" s="9"/>
      <c r="Q890" s="9"/>
      <c r="R890" s="9"/>
      <c r="S890" s="8"/>
      <c r="T890" s="8"/>
      <c r="U890" s="8"/>
      <c r="V890" s="8"/>
      <c r="W890" s="8"/>
      <c r="X890" s="8"/>
      <c r="Y890" s="8"/>
      <c r="Z890" s="194"/>
      <c r="AA890" s="194"/>
      <c r="AB890" s="194"/>
      <c r="AC890" s="11"/>
      <c r="AD890" s="11"/>
      <c r="AE890" s="11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3"/>
      <c r="AY890" s="13"/>
      <c r="AZ890" s="13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</row>
    <row r="891" spans="1:63" ht="14.25" customHeight="1" x14ac:dyDescent="0.25">
      <c r="A891" s="9"/>
      <c r="B891" s="2"/>
      <c r="C891" s="3"/>
      <c r="D891" s="9"/>
      <c r="E891" s="9"/>
      <c r="F891" s="9"/>
      <c r="G891" s="9"/>
      <c r="H891" s="9"/>
      <c r="I891" s="8"/>
      <c r="J891" s="8"/>
      <c r="K891" s="8"/>
      <c r="L891" s="8"/>
      <c r="M891" s="8"/>
      <c r="N891" s="8"/>
      <c r="O891" s="8"/>
      <c r="P891" s="9"/>
      <c r="Q891" s="9"/>
      <c r="R891" s="9"/>
      <c r="S891" s="8"/>
      <c r="T891" s="8"/>
      <c r="U891" s="8"/>
      <c r="V891" s="8"/>
      <c r="W891" s="8"/>
      <c r="X891" s="8"/>
      <c r="Y891" s="8"/>
      <c r="Z891" s="194"/>
      <c r="AA891" s="194"/>
      <c r="AB891" s="194"/>
      <c r="AC891" s="11"/>
      <c r="AD891" s="11"/>
      <c r="AE891" s="11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3"/>
      <c r="AY891" s="13"/>
      <c r="AZ891" s="13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</row>
    <row r="892" spans="1:63" ht="14.25" customHeight="1" x14ac:dyDescent="0.25">
      <c r="A892" s="9"/>
      <c r="B892" s="2"/>
      <c r="C892" s="3"/>
      <c r="D892" s="9"/>
      <c r="E892" s="9"/>
      <c r="F892" s="9"/>
      <c r="G892" s="9"/>
      <c r="H892" s="9"/>
      <c r="I892" s="8"/>
      <c r="J892" s="8"/>
      <c r="K892" s="8"/>
      <c r="L892" s="8"/>
      <c r="M892" s="8"/>
      <c r="N892" s="8"/>
      <c r="O892" s="8"/>
      <c r="P892" s="9"/>
      <c r="Q892" s="9"/>
      <c r="R892" s="9"/>
      <c r="S892" s="8"/>
      <c r="T892" s="8"/>
      <c r="U892" s="8"/>
      <c r="V892" s="8"/>
      <c r="W892" s="8"/>
      <c r="X892" s="8"/>
      <c r="Y892" s="8"/>
      <c r="Z892" s="194"/>
      <c r="AA892" s="194"/>
      <c r="AB892" s="194"/>
      <c r="AC892" s="11"/>
      <c r="AD892" s="11"/>
      <c r="AE892" s="11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3"/>
      <c r="AY892" s="13"/>
      <c r="AZ892" s="13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</row>
    <row r="893" spans="1:63" ht="14.25" customHeight="1" x14ac:dyDescent="0.25">
      <c r="A893" s="9"/>
      <c r="B893" s="2"/>
      <c r="C893" s="3"/>
      <c r="D893" s="9"/>
      <c r="E893" s="9"/>
      <c r="F893" s="9"/>
      <c r="G893" s="9"/>
      <c r="H893" s="9"/>
      <c r="I893" s="8"/>
      <c r="J893" s="8"/>
      <c r="K893" s="8"/>
      <c r="L893" s="8"/>
      <c r="M893" s="8"/>
      <c r="N893" s="8"/>
      <c r="O893" s="8"/>
      <c r="P893" s="9"/>
      <c r="Q893" s="9"/>
      <c r="R893" s="9"/>
      <c r="S893" s="8"/>
      <c r="T893" s="8"/>
      <c r="U893" s="8"/>
      <c r="V893" s="8"/>
      <c r="W893" s="8"/>
      <c r="X893" s="8"/>
      <c r="Y893" s="8"/>
      <c r="Z893" s="194"/>
      <c r="AA893" s="194"/>
      <c r="AB893" s="194"/>
      <c r="AC893" s="11"/>
      <c r="AD893" s="11"/>
      <c r="AE893" s="11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3"/>
      <c r="AY893" s="13"/>
      <c r="AZ893" s="13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</row>
    <row r="894" spans="1:63" ht="14.25" customHeight="1" x14ac:dyDescent="0.25">
      <c r="A894" s="9"/>
      <c r="B894" s="2"/>
      <c r="C894" s="3"/>
      <c r="D894" s="9"/>
      <c r="E894" s="9"/>
      <c r="F894" s="9"/>
      <c r="G894" s="9"/>
      <c r="H894" s="9"/>
      <c r="I894" s="8"/>
      <c r="J894" s="8"/>
      <c r="K894" s="8"/>
      <c r="L894" s="8"/>
      <c r="M894" s="8"/>
      <c r="N894" s="8"/>
      <c r="O894" s="8"/>
      <c r="P894" s="9"/>
      <c r="Q894" s="9"/>
      <c r="R894" s="9"/>
      <c r="S894" s="8"/>
      <c r="T894" s="8"/>
      <c r="U894" s="8"/>
      <c r="V894" s="8"/>
      <c r="W894" s="8"/>
      <c r="X894" s="8"/>
      <c r="Y894" s="8"/>
      <c r="Z894" s="194"/>
      <c r="AA894" s="194"/>
      <c r="AB894" s="194"/>
      <c r="AC894" s="11"/>
      <c r="AD894" s="11"/>
      <c r="AE894" s="11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3"/>
      <c r="AY894" s="13"/>
      <c r="AZ894" s="13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</row>
    <row r="895" spans="1:63" ht="14.25" customHeight="1" x14ac:dyDescent="0.25">
      <c r="A895" s="9"/>
      <c r="B895" s="2"/>
      <c r="C895" s="3"/>
      <c r="D895" s="9"/>
      <c r="E895" s="9"/>
      <c r="F895" s="9"/>
      <c r="G895" s="9"/>
      <c r="H895" s="9"/>
      <c r="I895" s="8"/>
      <c r="J895" s="8"/>
      <c r="K895" s="8"/>
      <c r="L895" s="8"/>
      <c r="M895" s="8"/>
      <c r="N895" s="8"/>
      <c r="O895" s="8"/>
      <c r="P895" s="9"/>
      <c r="Q895" s="9"/>
      <c r="R895" s="9"/>
      <c r="S895" s="8"/>
      <c r="T895" s="8"/>
      <c r="U895" s="8"/>
      <c r="V895" s="8"/>
      <c r="W895" s="8"/>
      <c r="X895" s="8"/>
      <c r="Y895" s="8"/>
      <c r="Z895" s="194"/>
      <c r="AA895" s="194"/>
      <c r="AB895" s="194"/>
      <c r="AC895" s="11"/>
      <c r="AD895" s="11"/>
      <c r="AE895" s="11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3"/>
      <c r="AY895" s="13"/>
      <c r="AZ895" s="13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</row>
    <row r="896" spans="1:63" ht="14.25" customHeight="1" x14ac:dyDescent="0.25">
      <c r="A896" s="9"/>
      <c r="B896" s="2"/>
      <c r="C896" s="3"/>
      <c r="D896" s="9"/>
      <c r="E896" s="9"/>
      <c r="F896" s="9"/>
      <c r="G896" s="9"/>
      <c r="H896" s="9"/>
      <c r="I896" s="8"/>
      <c r="J896" s="8"/>
      <c r="K896" s="8"/>
      <c r="L896" s="8"/>
      <c r="M896" s="8"/>
      <c r="N896" s="8"/>
      <c r="O896" s="8"/>
      <c r="P896" s="9"/>
      <c r="Q896" s="9"/>
      <c r="R896" s="9"/>
      <c r="S896" s="8"/>
      <c r="T896" s="8"/>
      <c r="U896" s="8"/>
      <c r="V896" s="8"/>
      <c r="W896" s="8"/>
      <c r="X896" s="8"/>
      <c r="Y896" s="8"/>
      <c r="Z896" s="194"/>
      <c r="AA896" s="194"/>
      <c r="AB896" s="194"/>
      <c r="AC896" s="11"/>
      <c r="AD896" s="11"/>
      <c r="AE896" s="11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3"/>
      <c r="AY896" s="13"/>
      <c r="AZ896" s="13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</row>
    <row r="897" spans="1:63" ht="14.25" customHeight="1" x14ac:dyDescent="0.25">
      <c r="A897" s="9"/>
      <c r="B897" s="2"/>
      <c r="C897" s="3"/>
      <c r="D897" s="9"/>
      <c r="E897" s="9"/>
      <c r="F897" s="9"/>
      <c r="G897" s="9"/>
      <c r="H897" s="9"/>
      <c r="I897" s="8"/>
      <c r="J897" s="8"/>
      <c r="K897" s="8"/>
      <c r="L897" s="8"/>
      <c r="M897" s="8"/>
      <c r="N897" s="8"/>
      <c r="O897" s="8"/>
      <c r="P897" s="9"/>
      <c r="Q897" s="9"/>
      <c r="R897" s="9"/>
      <c r="S897" s="8"/>
      <c r="T897" s="8"/>
      <c r="U897" s="8"/>
      <c r="V897" s="8"/>
      <c r="W897" s="8"/>
      <c r="X897" s="8"/>
      <c r="Y897" s="8"/>
      <c r="Z897" s="194"/>
      <c r="AA897" s="194"/>
      <c r="AB897" s="194"/>
      <c r="AC897" s="11"/>
      <c r="AD897" s="11"/>
      <c r="AE897" s="11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3"/>
      <c r="AY897" s="13"/>
      <c r="AZ897" s="13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</row>
    <row r="898" spans="1:63" ht="14.25" customHeight="1" x14ac:dyDescent="0.25">
      <c r="A898" s="9"/>
      <c r="B898" s="2"/>
      <c r="C898" s="3"/>
      <c r="D898" s="9"/>
      <c r="E898" s="9"/>
      <c r="F898" s="9"/>
      <c r="G898" s="9"/>
      <c r="H898" s="9"/>
      <c r="I898" s="8"/>
      <c r="J898" s="8"/>
      <c r="K898" s="8"/>
      <c r="L898" s="8"/>
      <c r="M898" s="8"/>
      <c r="N898" s="8"/>
      <c r="O898" s="8"/>
      <c r="P898" s="9"/>
      <c r="Q898" s="9"/>
      <c r="R898" s="9"/>
      <c r="S898" s="8"/>
      <c r="T898" s="8"/>
      <c r="U898" s="8"/>
      <c r="V898" s="8"/>
      <c r="W898" s="8"/>
      <c r="X898" s="8"/>
      <c r="Y898" s="8"/>
      <c r="Z898" s="194"/>
      <c r="AA898" s="194"/>
      <c r="AB898" s="194"/>
      <c r="AC898" s="11"/>
      <c r="AD898" s="11"/>
      <c r="AE898" s="11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3"/>
      <c r="AY898" s="13"/>
      <c r="AZ898" s="13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</row>
    <row r="899" spans="1:63" ht="14.25" customHeight="1" x14ac:dyDescent="0.25">
      <c r="A899" s="9"/>
      <c r="B899" s="2"/>
      <c r="C899" s="3"/>
      <c r="D899" s="9"/>
      <c r="E899" s="9"/>
      <c r="F899" s="9"/>
      <c r="G899" s="9"/>
      <c r="H899" s="9"/>
      <c r="I899" s="8"/>
      <c r="J899" s="8"/>
      <c r="K899" s="8"/>
      <c r="L899" s="8"/>
      <c r="M899" s="8"/>
      <c r="N899" s="8"/>
      <c r="O899" s="8"/>
      <c r="P899" s="9"/>
      <c r="Q899" s="9"/>
      <c r="R899" s="9"/>
      <c r="S899" s="8"/>
      <c r="T899" s="8"/>
      <c r="U899" s="8"/>
      <c r="V899" s="8"/>
      <c r="W899" s="8"/>
      <c r="X899" s="8"/>
      <c r="Y899" s="8"/>
      <c r="Z899" s="194"/>
      <c r="AA899" s="194"/>
      <c r="AB899" s="194"/>
      <c r="AC899" s="11"/>
      <c r="AD899" s="11"/>
      <c r="AE899" s="11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3"/>
      <c r="AY899" s="13"/>
      <c r="AZ899" s="13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</row>
    <row r="900" spans="1:63" ht="14.25" customHeight="1" x14ac:dyDescent="0.25">
      <c r="A900" s="9"/>
      <c r="B900" s="2"/>
      <c r="C900" s="3"/>
      <c r="D900" s="9"/>
      <c r="E900" s="9"/>
      <c r="F900" s="9"/>
      <c r="G900" s="9"/>
      <c r="H900" s="9"/>
      <c r="I900" s="8"/>
      <c r="J900" s="8"/>
      <c r="K900" s="8"/>
      <c r="L900" s="8"/>
      <c r="M900" s="8"/>
      <c r="N900" s="8"/>
      <c r="O900" s="8"/>
      <c r="P900" s="9"/>
      <c r="Q900" s="9"/>
      <c r="R900" s="9"/>
      <c r="S900" s="8"/>
      <c r="T900" s="8"/>
      <c r="U900" s="8"/>
      <c r="V900" s="8"/>
      <c r="W900" s="8"/>
      <c r="X900" s="8"/>
      <c r="Y900" s="8"/>
      <c r="Z900" s="194"/>
      <c r="AA900" s="194"/>
      <c r="AB900" s="194"/>
      <c r="AC900" s="11"/>
      <c r="AD900" s="11"/>
      <c r="AE900" s="11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3"/>
      <c r="AY900" s="13"/>
      <c r="AZ900" s="13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</row>
    <row r="901" spans="1:63" ht="14.25" customHeight="1" x14ac:dyDescent="0.25">
      <c r="A901" s="9"/>
      <c r="B901" s="2"/>
      <c r="C901" s="3"/>
      <c r="D901" s="9"/>
      <c r="E901" s="9"/>
      <c r="F901" s="9"/>
      <c r="G901" s="9"/>
      <c r="H901" s="9"/>
      <c r="I901" s="8"/>
      <c r="J901" s="8"/>
      <c r="K901" s="8"/>
      <c r="L901" s="8"/>
      <c r="M901" s="8"/>
      <c r="N901" s="8"/>
      <c r="O901" s="8"/>
      <c r="P901" s="9"/>
      <c r="Q901" s="9"/>
      <c r="R901" s="9"/>
      <c r="S901" s="8"/>
      <c r="T901" s="8"/>
      <c r="U901" s="8"/>
      <c r="V901" s="8"/>
      <c r="W901" s="8"/>
      <c r="X901" s="8"/>
      <c r="Y901" s="8"/>
      <c r="Z901" s="194"/>
      <c r="AA901" s="194"/>
      <c r="AB901" s="194"/>
      <c r="AC901" s="11"/>
      <c r="AD901" s="11"/>
      <c r="AE901" s="11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3"/>
      <c r="AY901" s="13"/>
      <c r="AZ901" s="13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</row>
    <row r="902" spans="1:63" ht="14.25" customHeight="1" x14ac:dyDescent="0.25">
      <c r="A902" s="9"/>
      <c r="B902" s="2"/>
      <c r="C902" s="3"/>
      <c r="D902" s="9"/>
      <c r="E902" s="9"/>
      <c r="F902" s="9"/>
      <c r="G902" s="9"/>
      <c r="H902" s="9"/>
      <c r="I902" s="8"/>
      <c r="J902" s="8"/>
      <c r="K902" s="8"/>
      <c r="L902" s="8"/>
      <c r="M902" s="8"/>
      <c r="N902" s="8"/>
      <c r="O902" s="8"/>
      <c r="P902" s="9"/>
      <c r="Q902" s="9"/>
      <c r="R902" s="9"/>
      <c r="S902" s="8"/>
      <c r="T902" s="8"/>
      <c r="U902" s="8"/>
      <c r="V902" s="8"/>
      <c r="W902" s="8"/>
      <c r="X902" s="8"/>
      <c r="Y902" s="8"/>
      <c r="Z902" s="194"/>
      <c r="AA902" s="194"/>
      <c r="AB902" s="194"/>
      <c r="AC902" s="11"/>
      <c r="AD902" s="11"/>
      <c r="AE902" s="11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3"/>
      <c r="AY902" s="13"/>
      <c r="AZ902" s="13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</row>
    <row r="903" spans="1:63" ht="14.25" customHeight="1" x14ac:dyDescent="0.25">
      <c r="A903" s="9"/>
      <c r="B903" s="2"/>
      <c r="C903" s="3"/>
      <c r="D903" s="9"/>
      <c r="E903" s="9"/>
      <c r="F903" s="9"/>
      <c r="G903" s="9"/>
      <c r="H903" s="9"/>
      <c r="I903" s="8"/>
      <c r="J903" s="8"/>
      <c r="K903" s="8"/>
      <c r="L903" s="8"/>
      <c r="M903" s="8"/>
      <c r="N903" s="8"/>
      <c r="O903" s="8"/>
      <c r="P903" s="9"/>
      <c r="Q903" s="9"/>
      <c r="R903" s="9"/>
      <c r="S903" s="8"/>
      <c r="T903" s="8"/>
      <c r="U903" s="8"/>
      <c r="V903" s="8"/>
      <c r="W903" s="8"/>
      <c r="X903" s="8"/>
      <c r="Y903" s="8"/>
      <c r="Z903" s="194"/>
      <c r="AA903" s="194"/>
      <c r="AB903" s="194"/>
      <c r="AC903" s="11"/>
      <c r="AD903" s="11"/>
      <c r="AE903" s="11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3"/>
      <c r="AY903" s="13"/>
      <c r="AZ903" s="13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</row>
    <row r="904" spans="1:63" ht="14.25" customHeight="1" x14ac:dyDescent="0.25">
      <c r="A904" s="9"/>
      <c r="B904" s="2"/>
      <c r="C904" s="3"/>
      <c r="D904" s="9"/>
      <c r="E904" s="9"/>
      <c r="F904" s="9"/>
      <c r="G904" s="9"/>
      <c r="H904" s="9"/>
      <c r="I904" s="8"/>
      <c r="J904" s="8"/>
      <c r="K904" s="8"/>
      <c r="L904" s="8"/>
      <c r="M904" s="8"/>
      <c r="N904" s="8"/>
      <c r="O904" s="8"/>
      <c r="P904" s="9"/>
      <c r="Q904" s="9"/>
      <c r="R904" s="9"/>
      <c r="S904" s="8"/>
      <c r="T904" s="8"/>
      <c r="U904" s="8"/>
      <c r="V904" s="8"/>
      <c r="W904" s="8"/>
      <c r="X904" s="8"/>
      <c r="Y904" s="8"/>
      <c r="Z904" s="194"/>
      <c r="AA904" s="194"/>
      <c r="AB904" s="194"/>
      <c r="AC904" s="11"/>
      <c r="AD904" s="11"/>
      <c r="AE904" s="11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3"/>
      <c r="AY904" s="13"/>
      <c r="AZ904" s="13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</row>
    <row r="905" spans="1:63" ht="14.25" customHeight="1" x14ac:dyDescent="0.25">
      <c r="A905" s="9"/>
      <c r="B905" s="2"/>
      <c r="C905" s="3"/>
      <c r="D905" s="9"/>
      <c r="E905" s="9"/>
      <c r="F905" s="9"/>
      <c r="G905" s="9"/>
      <c r="H905" s="9"/>
      <c r="I905" s="8"/>
      <c r="J905" s="8"/>
      <c r="K905" s="8"/>
      <c r="L905" s="8"/>
      <c r="M905" s="8"/>
      <c r="N905" s="8"/>
      <c r="O905" s="8"/>
      <c r="P905" s="9"/>
      <c r="Q905" s="9"/>
      <c r="R905" s="9"/>
      <c r="S905" s="8"/>
      <c r="T905" s="8"/>
      <c r="U905" s="8"/>
      <c r="V905" s="8"/>
      <c r="W905" s="8"/>
      <c r="X905" s="8"/>
      <c r="Y905" s="8"/>
      <c r="Z905" s="194"/>
      <c r="AA905" s="194"/>
      <c r="AB905" s="194"/>
      <c r="AC905" s="11"/>
      <c r="AD905" s="11"/>
      <c r="AE905" s="11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3"/>
      <c r="AY905" s="13"/>
      <c r="AZ905" s="13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</row>
    <row r="906" spans="1:63" ht="14.25" customHeight="1" x14ac:dyDescent="0.25">
      <c r="A906" s="9"/>
      <c r="B906" s="2"/>
      <c r="C906" s="3"/>
      <c r="D906" s="9"/>
      <c r="E906" s="9"/>
      <c r="F906" s="9"/>
      <c r="G906" s="9"/>
      <c r="H906" s="9"/>
      <c r="I906" s="8"/>
      <c r="J906" s="8"/>
      <c r="K906" s="8"/>
      <c r="L906" s="8"/>
      <c r="M906" s="8"/>
      <c r="N906" s="8"/>
      <c r="O906" s="8"/>
      <c r="P906" s="9"/>
      <c r="Q906" s="9"/>
      <c r="R906" s="9"/>
      <c r="S906" s="8"/>
      <c r="T906" s="8"/>
      <c r="U906" s="8"/>
      <c r="V906" s="8"/>
      <c r="W906" s="8"/>
      <c r="X906" s="8"/>
      <c r="Y906" s="8"/>
      <c r="Z906" s="194"/>
      <c r="AA906" s="194"/>
      <c r="AB906" s="194"/>
      <c r="AC906" s="11"/>
      <c r="AD906" s="11"/>
      <c r="AE906" s="11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3"/>
      <c r="AY906" s="13"/>
      <c r="AZ906" s="13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</row>
    <row r="907" spans="1:63" ht="14.25" customHeight="1" x14ac:dyDescent="0.25">
      <c r="A907" s="9"/>
      <c r="B907" s="2"/>
      <c r="C907" s="3"/>
      <c r="D907" s="9"/>
      <c r="E907" s="9"/>
      <c r="F907" s="9"/>
      <c r="G907" s="9"/>
      <c r="H907" s="9"/>
      <c r="I907" s="8"/>
      <c r="J907" s="8"/>
      <c r="K907" s="8"/>
      <c r="L907" s="8"/>
      <c r="M907" s="8"/>
      <c r="N907" s="8"/>
      <c r="O907" s="8"/>
      <c r="P907" s="9"/>
      <c r="Q907" s="9"/>
      <c r="R907" s="9"/>
      <c r="S907" s="8"/>
      <c r="T907" s="8"/>
      <c r="U907" s="8"/>
      <c r="V907" s="8"/>
      <c r="W907" s="8"/>
      <c r="X907" s="8"/>
      <c r="Y907" s="8"/>
      <c r="Z907" s="194"/>
      <c r="AA907" s="194"/>
      <c r="AB907" s="194"/>
      <c r="AC907" s="11"/>
      <c r="AD907" s="11"/>
      <c r="AE907" s="11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3"/>
      <c r="AY907" s="13"/>
      <c r="AZ907" s="13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</row>
    <row r="908" spans="1:63" ht="14.25" customHeight="1" x14ac:dyDescent="0.25">
      <c r="A908" s="9"/>
      <c r="B908" s="2"/>
      <c r="C908" s="3"/>
      <c r="D908" s="9"/>
      <c r="E908" s="9"/>
      <c r="F908" s="9"/>
      <c r="G908" s="9"/>
      <c r="H908" s="9"/>
      <c r="I908" s="8"/>
      <c r="J908" s="8"/>
      <c r="K908" s="8"/>
      <c r="L908" s="8"/>
      <c r="M908" s="8"/>
      <c r="N908" s="8"/>
      <c r="O908" s="8"/>
      <c r="P908" s="9"/>
      <c r="Q908" s="9"/>
      <c r="R908" s="9"/>
      <c r="S908" s="8"/>
      <c r="T908" s="8"/>
      <c r="U908" s="8"/>
      <c r="V908" s="8"/>
      <c r="W908" s="8"/>
      <c r="X908" s="8"/>
      <c r="Y908" s="8"/>
      <c r="Z908" s="194"/>
      <c r="AA908" s="194"/>
      <c r="AB908" s="194"/>
      <c r="AC908" s="11"/>
      <c r="AD908" s="11"/>
      <c r="AE908" s="11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3"/>
      <c r="AY908" s="13"/>
      <c r="AZ908" s="13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</row>
    <row r="909" spans="1:63" ht="14.25" customHeight="1" x14ac:dyDescent="0.25">
      <c r="A909" s="9"/>
      <c r="B909" s="2"/>
      <c r="C909" s="3"/>
      <c r="D909" s="9"/>
      <c r="E909" s="9"/>
      <c r="F909" s="9"/>
      <c r="G909" s="9"/>
      <c r="H909" s="9"/>
      <c r="I909" s="8"/>
      <c r="J909" s="8"/>
      <c r="K909" s="8"/>
      <c r="L909" s="8"/>
      <c r="M909" s="8"/>
      <c r="N909" s="8"/>
      <c r="O909" s="8"/>
      <c r="P909" s="9"/>
      <c r="Q909" s="9"/>
      <c r="R909" s="9"/>
      <c r="S909" s="8"/>
      <c r="T909" s="8"/>
      <c r="U909" s="8"/>
      <c r="V909" s="8"/>
      <c r="W909" s="8"/>
      <c r="X909" s="8"/>
      <c r="Y909" s="8"/>
      <c r="Z909" s="194"/>
      <c r="AA909" s="194"/>
      <c r="AB909" s="194"/>
      <c r="AC909" s="11"/>
      <c r="AD909" s="11"/>
      <c r="AE909" s="11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3"/>
      <c r="AY909" s="13"/>
      <c r="AZ909" s="13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</row>
    <row r="910" spans="1:63" ht="14.25" customHeight="1" x14ac:dyDescent="0.25">
      <c r="A910" s="9"/>
      <c r="B910" s="2"/>
      <c r="C910" s="3"/>
      <c r="D910" s="9"/>
      <c r="E910" s="9"/>
      <c r="F910" s="9"/>
      <c r="G910" s="9"/>
      <c r="H910" s="9"/>
      <c r="I910" s="8"/>
      <c r="J910" s="8"/>
      <c r="K910" s="8"/>
      <c r="L910" s="8"/>
      <c r="M910" s="8"/>
      <c r="N910" s="8"/>
      <c r="O910" s="8"/>
      <c r="P910" s="9"/>
      <c r="Q910" s="9"/>
      <c r="R910" s="9"/>
      <c r="S910" s="8"/>
      <c r="T910" s="8"/>
      <c r="U910" s="8"/>
      <c r="V910" s="8"/>
      <c r="W910" s="8"/>
      <c r="X910" s="8"/>
      <c r="Y910" s="8"/>
      <c r="Z910" s="194"/>
      <c r="AA910" s="194"/>
      <c r="AB910" s="194"/>
      <c r="AC910" s="11"/>
      <c r="AD910" s="11"/>
      <c r="AE910" s="11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3"/>
      <c r="AY910" s="13"/>
      <c r="AZ910" s="13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</row>
    <row r="911" spans="1:63" ht="14.25" customHeight="1" x14ac:dyDescent="0.25">
      <c r="A911" s="9"/>
      <c r="B911" s="2"/>
      <c r="C911" s="3"/>
      <c r="D911" s="9"/>
      <c r="E911" s="9"/>
      <c r="F911" s="9"/>
      <c r="G911" s="9"/>
      <c r="H911" s="9"/>
      <c r="I911" s="8"/>
      <c r="J911" s="8"/>
      <c r="K911" s="8"/>
      <c r="L911" s="8"/>
      <c r="M911" s="8"/>
      <c r="N911" s="8"/>
      <c r="O911" s="8"/>
      <c r="P911" s="9"/>
      <c r="Q911" s="9"/>
      <c r="R911" s="9"/>
      <c r="S911" s="8"/>
      <c r="T911" s="8"/>
      <c r="U911" s="8"/>
      <c r="V911" s="8"/>
      <c r="W911" s="8"/>
      <c r="X911" s="8"/>
      <c r="Y911" s="8"/>
      <c r="Z911" s="194"/>
      <c r="AA911" s="194"/>
      <c r="AB911" s="194"/>
      <c r="AC911" s="11"/>
      <c r="AD911" s="11"/>
      <c r="AE911" s="11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3"/>
      <c r="AY911" s="13"/>
      <c r="AZ911" s="13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</row>
    <row r="912" spans="1:63" ht="14.25" customHeight="1" x14ac:dyDescent="0.25">
      <c r="A912" s="9"/>
      <c r="B912" s="2"/>
      <c r="C912" s="3"/>
      <c r="D912" s="9"/>
      <c r="E912" s="9"/>
      <c r="F912" s="9"/>
      <c r="G912" s="9"/>
      <c r="H912" s="9"/>
      <c r="I912" s="8"/>
      <c r="J912" s="8"/>
      <c r="K912" s="8"/>
      <c r="L912" s="8"/>
      <c r="M912" s="8"/>
      <c r="N912" s="8"/>
      <c r="O912" s="8"/>
      <c r="P912" s="9"/>
      <c r="Q912" s="9"/>
      <c r="R912" s="9"/>
      <c r="S912" s="8"/>
      <c r="T912" s="8"/>
      <c r="U912" s="8"/>
      <c r="V912" s="8"/>
      <c r="W912" s="8"/>
      <c r="X912" s="8"/>
      <c r="Y912" s="8"/>
      <c r="Z912" s="194"/>
      <c r="AA912" s="194"/>
      <c r="AB912" s="194"/>
      <c r="AC912" s="11"/>
      <c r="AD912" s="11"/>
      <c r="AE912" s="11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3"/>
      <c r="AY912" s="13"/>
      <c r="AZ912" s="13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</row>
    <row r="913" spans="1:63" ht="14.25" customHeight="1" x14ac:dyDescent="0.25">
      <c r="A913" s="9"/>
      <c r="B913" s="2"/>
      <c r="C913" s="3"/>
      <c r="D913" s="9"/>
      <c r="E913" s="9"/>
      <c r="F913" s="9"/>
      <c r="G913" s="9"/>
      <c r="H913" s="9"/>
      <c r="I913" s="8"/>
      <c r="J913" s="8"/>
      <c r="K913" s="8"/>
      <c r="L913" s="8"/>
      <c r="M913" s="8"/>
      <c r="N913" s="8"/>
      <c r="O913" s="8"/>
      <c r="P913" s="9"/>
      <c r="Q913" s="9"/>
      <c r="R913" s="9"/>
      <c r="S913" s="8"/>
      <c r="T913" s="8"/>
      <c r="U913" s="8"/>
      <c r="V913" s="8"/>
      <c r="W913" s="8"/>
      <c r="X913" s="8"/>
      <c r="Y913" s="8"/>
      <c r="Z913" s="194"/>
      <c r="AA913" s="194"/>
      <c r="AB913" s="194"/>
      <c r="AC913" s="11"/>
      <c r="AD913" s="11"/>
      <c r="AE913" s="11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3"/>
      <c r="AY913" s="13"/>
      <c r="AZ913" s="13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</row>
    <row r="914" spans="1:63" ht="14.25" customHeight="1" x14ac:dyDescent="0.25">
      <c r="A914" s="9"/>
      <c r="B914" s="2"/>
      <c r="C914" s="3"/>
      <c r="D914" s="9"/>
      <c r="E914" s="9"/>
      <c r="F914" s="9"/>
      <c r="G914" s="9"/>
      <c r="H914" s="9"/>
      <c r="I914" s="8"/>
      <c r="J914" s="8"/>
      <c r="K914" s="8"/>
      <c r="L914" s="8"/>
      <c r="M914" s="8"/>
      <c r="N914" s="8"/>
      <c r="O914" s="8"/>
      <c r="P914" s="9"/>
      <c r="Q914" s="9"/>
      <c r="R914" s="9"/>
      <c r="S914" s="8"/>
      <c r="T914" s="8"/>
      <c r="U914" s="8"/>
      <c r="V914" s="8"/>
      <c r="W914" s="8"/>
      <c r="X914" s="8"/>
      <c r="Y914" s="8"/>
      <c r="Z914" s="194"/>
      <c r="AA914" s="194"/>
      <c r="AB914" s="194"/>
      <c r="AC914" s="11"/>
      <c r="AD914" s="11"/>
      <c r="AE914" s="11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3"/>
      <c r="AY914" s="13"/>
      <c r="AZ914" s="13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</row>
    <row r="915" spans="1:63" ht="14.25" customHeight="1" x14ac:dyDescent="0.25">
      <c r="A915" s="9"/>
      <c r="B915" s="2"/>
      <c r="C915" s="3"/>
      <c r="D915" s="9"/>
      <c r="E915" s="9"/>
      <c r="F915" s="9"/>
      <c r="G915" s="9"/>
      <c r="H915" s="9"/>
      <c r="I915" s="8"/>
      <c r="J915" s="8"/>
      <c r="K915" s="8"/>
      <c r="L915" s="8"/>
      <c r="M915" s="8"/>
      <c r="N915" s="8"/>
      <c r="O915" s="8"/>
      <c r="P915" s="9"/>
      <c r="Q915" s="9"/>
      <c r="R915" s="9"/>
      <c r="S915" s="8"/>
      <c r="T915" s="8"/>
      <c r="U915" s="8"/>
      <c r="V915" s="8"/>
      <c r="W915" s="8"/>
      <c r="X915" s="8"/>
      <c r="Y915" s="8"/>
      <c r="Z915" s="194"/>
      <c r="AA915" s="194"/>
      <c r="AB915" s="194"/>
      <c r="AC915" s="11"/>
      <c r="AD915" s="11"/>
      <c r="AE915" s="11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3"/>
      <c r="AY915" s="13"/>
      <c r="AZ915" s="13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</row>
    <row r="916" spans="1:63" ht="14.25" customHeight="1" x14ac:dyDescent="0.25">
      <c r="A916" s="9"/>
      <c r="B916" s="2"/>
      <c r="C916" s="3"/>
      <c r="D916" s="9"/>
      <c r="E916" s="9"/>
      <c r="F916" s="9"/>
      <c r="G916" s="9"/>
      <c r="H916" s="9"/>
      <c r="I916" s="8"/>
      <c r="J916" s="8"/>
      <c r="K916" s="8"/>
      <c r="L916" s="8"/>
      <c r="M916" s="8"/>
      <c r="N916" s="8"/>
      <c r="O916" s="8"/>
      <c r="P916" s="9"/>
      <c r="Q916" s="9"/>
      <c r="R916" s="9"/>
      <c r="S916" s="8"/>
      <c r="T916" s="8"/>
      <c r="U916" s="8"/>
      <c r="V916" s="8"/>
      <c r="W916" s="8"/>
      <c r="X916" s="8"/>
      <c r="Y916" s="8"/>
      <c r="Z916" s="194"/>
      <c r="AA916" s="194"/>
      <c r="AB916" s="194"/>
      <c r="AC916" s="11"/>
      <c r="AD916" s="11"/>
      <c r="AE916" s="11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3"/>
      <c r="AY916" s="13"/>
      <c r="AZ916" s="13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</row>
    <row r="917" spans="1:63" ht="14.25" customHeight="1" x14ac:dyDescent="0.25">
      <c r="A917" s="9"/>
      <c r="B917" s="2"/>
      <c r="C917" s="3"/>
      <c r="D917" s="9"/>
      <c r="E917" s="9"/>
      <c r="F917" s="9"/>
      <c r="G917" s="9"/>
      <c r="H917" s="9"/>
      <c r="I917" s="8"/>
      <c r="J917" s="8"/>
      <c r="K917" s="8"/>
      <c r="L917" s="8"/>
      <c r="M917" s="8"/>
      <c r="N917" s="8"/>
      <c r="O917" s="8"/>
      <c r="P917" s="9"/>
      <c r="Q917" s="9"/>
      <c r="R917" s="9"/>
      <c r="S917" s="8"/>
      <c r="T917" s="8"/>
      <c r="U917" s="8"/>
      <c r="V917" s="8"/>
      <c r="W917" s="8"/>
      <c r="X917" s="8"/>
      <c r="Y917" s="8"/>
      <c r="Z917" s="194"/>
      <c r="AA917" s="194"/>
      <c r="AB917" s="194"/>
      <c r="AC917" s="11"/>
      <c r="AD917" s="11"/>
      <c r="AE917" s="11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3"/>
      <c r="AY917" s="13"/>
      <c r="AZ917" s="13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</row>
    <row r="918" spans="1:63" ht="14.25" customHeight="1" x14ac:dyDescent="0.25">
      <c r="A918" s="9"/>
      <c r="B918" s="2"/>
      <c r="C918" s="3"/>
      <c r="D918" s="9"/>
      <c r="E918" s="9"/>
      <c r="F918" s="9"/>
      <c r="G918" s="9"/>
      <c r="H918" s="9"/>
      <c r="I918" s="8"/>
      <c r="J918" s="8"/>
      <c r="K918" s="8"/>
      <c r="L918" s="8"/>
      <c r="M918" s="8"/>
      <c r="N918" s="8"/>
      <c r="O918" s="8"/>
      <c r="P918" s="9"/>
      <c r="Q918" s="9"/>
      <c r="R918" s="9"/>
      <c r="S918" s="8"/>
      <c r="T918" s="8"/>
      <c r="U918" s="8"/>
      <c r="V918" s="8"/>
      <c r="W918" s="8"/>
      <c r="X918" s="8"/>
      <c r="Y918" s="8"/>
      <c r="Z918" s="194"/>
      <c r="AA918" s="194"/>
      <c r="AB918" s="194"/>
      <c r="AC918" s="11"/>
      <c r="AD918" s="11"/>
      <c r="AE918" s="11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3"/>
      <c r="AY918" s="13"/>
      <c r="AZ918" s="13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</row>
    <row r="919" spans="1:63" ht="14.25" customHeight="1" x14ac:dyDescent="0.25">
      <c r="A919" s="9"/>
      <c r="B919" s="2"/>
      <c r="C919" s="3"/>
      <c r="D919" s="9"/>
      <c r="E919" s="9"/>
      <c r="F919" s="9"/>
      <c r="G919" s="9"/>
      <c r="H919" s="9"/>
      <c r="I919" s="8"/>
      <c r="J919" s="8"/>
      <c r="K919" s="8"/>
      <c r="L919" s="8"/>
      <c r="M919" s="8"/>
      <c r="N919" s="8"/>
      <c r="O919" s="8"/>
      <c r="P919" s="9"/>
      <c r="Q919" s="9"/>
      <c r="R919" s="9"/>
      <c r="S919" s="8"/>
      <c r="T919" s="8"/>
      <c r="U919" s="8"/>
      <c r="V919" s="8"/>
      <c r="W919" s="8"/>
      <c r="X919" s="8"/>
      <c r="Y919" s="8"/>
      <c r="Z919" s="194"/>
      <c r="AA919" s="194"/>
      <c r="AB919" s="194"/>
      <c r="AC919" s="11"/>
      <c r="AD919" s="11"/>
      <c r="AE919" s="11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3"/>
      <c r="AY919" s="13"/>
      <c r="AZ919" s="13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</row>
    <row r="920" spans="1:63" ht="14.25" customHeight="1" x14ac:dyDescent="0.25">
      <c r="A920" s="9"/>
      <c r="B920" s="2"/>
      <c r="C920" s="3"/>
      <c r="D920" s="9"/>
      <c r="E920" s="9"/>
      <c r="F920" s="9"/>
      <c r="G920" s="9"/>
      <c r="H920" s="9"/>
      <c r="I920" s="8"/>
      <c r="J920" s="8"/>
      <c r="K920" s="8"/>
      <c r="L920" s="8"/>
      <c r="M920" s="8"/>
      <c r="N920" s="8"/>
      <c r="O920" s="8"/>
      <c r="P920" s="9"/>
      <c r="Q920" s="9"/>
      <c r="R920" s="9"/>
      <c r="S920" s="8"/>
      <c r="T920" s="8"/>
      <c r="U920" s="8"/>
      <c r="V920" s="8"/>
      <c r="W920" s="8"/>
      <c r="X920" s="8"/>
      <c r="Y920" s="8"/>
      <c r="Z920" s="194"/>
      <c r="AA920" s="194"/>
      <c r="AB920" s="194"/>
      <c r="AC920" s="11"/>
      <c r="AD920" s="11"/>
      <c r="AE920" s="11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3"/>
      <c r="AY920" s="13"/>
      <c r="AZ920" s="13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</row>
    <row r="921" spans="1:63" ht="14.25" customHeight="1" x14ac:dyDescent="0.25">
      <c r="A921" s="9"/>
      <c r="B921" s="2"/>
      <c r="C921" s="3"/>
      <c r="D921" s="9"/>
      <c r="E921" s="9"/>
      <c r="F921" s="9"/>
      <c r="G921" s="9"/>
      <c r="H921" s="9"/>
      <c r="I921" s="8"/>
      <c r="J921" s="8"/>
      <c r="K921" s="8"/>
      <c r="L921" s="8"/>
      <c r="M921" s="8"/>
      <c r="N921" s="8"/>
      <c r="O921" s="8"/>
      <c r="P921" s="9"/>
      <c r="Q921" s="9"/>
      <c r="R921" s="9"/>
      <c r="S921" s="8"/>
      <c r="T921" s="8"/>
      <c r="U921" s="8"/>
      <c r="V921" s="8"/>
      <c r="W921" s="8"/>
      <c r="X921" s="8"/>
      <c r="Y921" s="8"/>
      <c r="Z921" s="194"/>
      <c r="AA921" s="194"/>
      <c r="AB921" s="194"/>
      <c r="AC921" s="11"/>
      <c r="AD921" s="11"/>
      <c r="AE921" s="11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3"/>
      <c r="AY921" s="13"/>
      <c r="AZ921" s="13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</row>
    <row r="922" spans="1:63" ht="14.25" customHeight="1" x14ac:dyDescent="0.25">
      <c r="A922" s="9"/>
      <c r="B922" s="2"/>
      <c r="C922" s="3"/>
      <c r="D922" s="9"/>
      <c r="E922" s="9"/>
      <c r="F922" s="9"/>
      <c r="G922" s="9"/>
      <c r="H922" s="9"/>
      <c r="I922" s="8"/>
      <c r="J922" s="8"/>
      <c r="K922" s="8"/>
      <c r="L922" s="8"/>
      <c r="M922" s="8"/>
      <c r="N922" s="8"/>
      <c r="O922" s="8"/>
      <c r="P922" s="9"/>
      <c r="Q922" s="9"/>
      <c r="R922" s="9"/>
      <c r="S922" s="8"/>
      <c r="T922" s="8"/>
      <c r="U922" s="8"/>
      <c r="V922" s="8"/>
      <c r="W922" s="8"/>
      <c r="X922" s="8"/>
      <c r="Y922" s="8"/>
      <c r="Z922" s="194"/>
      <c r="AA922" s="194"/>
      <c r="AB922" s="194"/>
      <c r="AC922" s="11"/>
      <c r="AD922" s="11"/>
      <c r="AE922" s="11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3"/>
      <c r="AY922" s="13"/>
      <c r="AZ922" s="13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</row>
    <row r="923" spans="1:63" ht="14.25" customHeight="1" x14ac:dyDescent="0.25">
      <c r="A923" s="9"/>
      <c r="B923" s="2"/>
      <c r="C923" s="3"/>
      <c r="D923" s="9"/>
      <c r="E923" s="9"/>
      <c r="F923" s="9"/>
      <c r="G923" s="9"/>
      <c r="H923" s="9"/>
      <c r="I923" s="8"/>
      <c r="J923" s="8"/>
      <c r="K923" s="8"/>
      <c r="L923" s="8"/>
      <c r="M923" s="8"/>
      <c r="N923" s="8"/>
      <c r="O923" s="8"/>
      <c r="P923" s="9"/>
      <c r="Q923" s="9"/>
      <c r="R923" s="9"/>
      <c r="S923" s="8"/>
      <c r="T923" s="8"/>
      <c r="U923" s="8"/>
      <c r="V923" s="8"/>
      <c r="W923" s="8"/>
      <c r="X923" s="8"/>
      <c r="Y923" s="8"/>
      <c r="Z923" s="194"/>
      <c r="AA923" s="194"/>
      <c r="AB923" s="194"/>
      <c r="AC923" s="11"/>
      <c r="AD923" s="11"/>
      <c r="AE923" s="11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3"/>
      <c r="AY923" s="13"/>
      <c r="AZ923" s="13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</row>
    <row r="924" spans="1:63" ht="14.25" customHeight="1" x14ac:dyDescent="0.25">
      <c r="A924" s="9"/>
      <c r="B924" s="2"/>
      <c r="C924" s="3"/>
      <c r="D924" s="9"/>
      <c r="E924" s="9"/>
      <c r="F924" s="9"/>
      <c r="G924" s="9"/>
      <c r="H924" s="9"/>
      <c r="I924" s="8"/>
      <c r="J924" s="8"/>
      <c r="K924" s="8"/>
      <c r="L924" s="8"/>
      <c r="M924" s="8"/>
      <c r="N924" s="8"/>
      <c r="O924" s="8"/>
      <c r="P924" s="9"/>
      <c r="Q924" s="9"/>
      <c r="R924" s="9"/>
      <c r="S924" s="8"/>
      <c r="T924" s="8"/>
      <c r="U924" s="8"/>
      <c r="V924" s="8"/>
      <c r="W924" s="8"/>
      <c r="X924" s="8"/>
      <c r="Y924" s="8"/>
      <c r="Z924" s="194"/>
      <c r="AA924" s="194"/>
      <c r="AB924" s="194"/>
      <c r="AC924" s="11"/>
      <c r="AD924" s="11"/>
      <c r="AE924" s="11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3"/>
      <c r="AY924" s="13"/>
      <c r="AZ924" s="13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</row>
    <row r="925" spans="1:63" ht="14.25" customHeight="1" x14ac:dyDescent="0.25">
      <c r="A925" s="9"/>
      <c r="B925" s="2"/>
      <c r="C925" s="3"/>
      <c r="D925" s="9"/>
      <c r="E925" s="9"/>
      <c r="F925" s="9"/>
      <c r="G925" s="9"/>
      <c r="H925" s="9"/>
      <c r="I925" s="8"/>
      <c r="J925" s="8"/>
      <c r="K925" s="8"/>
      <c r="L925" s="8"/>
      <c r="M925" s="8"/>
      <c r="N925" s="8"/>
      <c r="O925" s="8"/>
      <c r="P925" s="9"/>
      <c r="Q925" s="9"/>
      <c r="R925" s="9"/>
      <c r="S925" s="8"/>
      <c r="T925" s="8"/>
      <c r="U925" s="8"/>
      <c r="V925" s="8"/>
      <c r="W925" s="8"/>
      <c r="X925" s="8"/>
      <c r="Y925" s="8"/>
      <c r="Z925" s="194"/>
      <c r="AA925" s="194"/>
      <c r="AB925" s="194"/>
      <c r="AC925" s="11"/>
      <c r="AD925" s="11"/>
      <c r="AE925" s="11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3"/>
      <c r="AY925" s="13"/>
      <c r="AZ925" s="13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</row>
    <row r="926" spans="1:63" ht="14.25" customHeight="1" x14ac:dyDescent="0.25">
      <c r="A926" s="9"/>
      <c r="B926" s="2"/>
      <c r="C926" s="3"/>
      <c r="D926" s="9"/>
      <c r="E926" s="9"/>
      <c r="F926" s="9"/>
      <c r="G926" s="9"/>
      <c r="H926" s="9"/>
      <c r="I926" s="8"/>
      <c r="J926" s="8"/>
      <c r="K926" s="8"/>
      <c r="L926" s="8"/>
      <c r="M926" s="8"/>
      <c r="N926" s="8"/>
      <c r="O926" s="8"/>
      <c r="P926" s="9"/>
      <c r="Q926" s="9"/>
      <c r="R926" s="9"/>
      <c r="S926" s="8"/>
      <c r="T926" s="8"/>
      <c r="U926" s="8"/>
      <c r="V926" s="8"/>
      <c r="W926" s="8"/>
      <c r="X926" s="8"/>
      <c r="Y926" s="8"/>
      <c r="Z926" s="194"/>
      <c r="AA926" s="194"/>
      <c r="AB926" s="194"/>
      <c r="AC926" s="11"/>
      <c r="AD926" s="11"/>
      <c r="AE926" s="11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3"/>
      <c r="AY926" s="13"/>
      <c r="AZ926" s="13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</row>
    <row r="927" spans="1:63" ht="14.25" customHeight="1" x14ac:dyDescent="0.25">
      <c r="A927" s="9"/>
      <c r="B927" s="2"/>
      <c r="C927" s="3"/>
      <c r="D927" s="9"/>
      <c r="E927" s="9"/>
      <c r="F927" s="9"/>
      <c r="G927" s="9"/>
      <c r="H927" s="9"/>
      <c r="I927" s="8"/>
      <c r="J927" s="8"/>
      <c r="K927" s="8"/>
      <c r="L927" s="8"/>
      <c r="M927" s="8"/>
      <c r="N927" s="8"/>
      <c r="O927" s="8"/>
      <c r="P927" s="9"/>
      <c r="Q927" s="9"/>
      <c r="R927" s="9"/>
      <c r="S927" s="8"/>
      <c r="T927" s="8"/>
      <c r="U927" s="8"/>
      <c r="V927" s="8"/>
      <c r="W927" s="8"/>
      <c r="X927" s="8"/>
      <c r="Y927" s="8"/>
      <c r="Z927" s="194"/>
      <c r="AA927" s="194"/>
      <c r="AB927" s="194"/>
      <c r="AC927" s="11"/>
      <c r="AD927" s="11"/>
      <c r="AE927" s="11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3"/>
      <c r="AY927" s="13"/>
      <c r="AZ927" s="13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</row>
    <row r="928" spans="1:63" ht="14.25" customHeight="1" x14ac:dyDescent="0.25">
      <c r="A928" s="9"/>
      <c r="B928" s="2"/>
      <c r="C928" s="3"/>
      <c r="D928" s="9"/>
      <c r="E928" s="9"/>
      <c r="F928" s="9"/>
      <c r="G928" s="9"/>
      <c r="H928" s="9"/>
      <c r="I928" s="8"/>
      <c r="J928" s="8"/>
      <c r="K928" s="8"/>
      <c r="L928" s="8"/>
      <c r="M928" s="8"/>
      <c r="N928" s="8"/>
      <c r="O928" s="8"/>
      <c r="P928" s="9"/>
      <c r="Q928" s="9"/>
      <c r="R928" s="9"/>
      <c r="S928" s="8"/>
      <c r="T928" s="8"/>
      <c r="U928" s="8"/>
      <c r="V928" s="8"/>
      <c r="W928" s="8"/>
      <c r="X928" s="8"/>
      <c r="Y928" s="8"/>
      <c r="Z928" s="194"/>
      <c r="AA928" s="194"/>
      <c r="AB928" s="194"/>
      <c r="AC928" s="11"/>
      <c r="AD928" s="11"/>
      <c r="AE928" s="11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3"/>
      <c r="AY928" s="13"/>
      <c r="AZ928" s="13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</row>
    <row r="929" spans="1:63" ht="14.25" customHeight="1" x14ac:dyDescent="0.25">
      <c r="A929" s="9"/>
      <c r="B929" s="2"/>
      <c r="C929" s="3"/>
      <c r="D929" s="9"/>
      <c r="E929" s="9"/>
      <c r="F929" s="9"/>
      <c r="G929" s="9"/>
      <c r="H929" s="9"/>
      <c r="I929" s="8"/>
      <c r="J929" s="8"/>
      <c r="K929" s="8"/>
      <c r="L929" s="8"/>
      <c r="M929" s="8"/>
      <c r="N929" s="8"/>
      <c r="O929" s="8"/>
      <c r="P929" s="9"/>
      <c r="Q929" s="9"/>
      <c r="R929" s="9"/>
      <c r="S929" s="8"/>
      <c r="T929" s="8"/>
      <c r="U929" s="8"/>
      <c r="V929" s="8"/>
      <c r="W929" s="8"/>
      <c r="X929" s="8"/>
      <c r="Y929" s="8"/>
      <c r="Z929" s="194"/>
      <c r="AA929" s="194"/>
      <c r="AB929" s="194"/>
      <c r="AC929" s="11"/>
      <c r="AD929" s="11"/>
      <c r="AE929" s="11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3"/>
      <c r="AY929" s="13"/>
      <c r="AZ929" s="13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</row>
    <row r="930" spans="1:63" ht="14.25" customHeight="1" x14ac:dyDescent="0.25">
      <c r="A930" s="9"/>
      <c r="B930" s="2"/>
      <c r="C930" s="3"/>
      <c r="D930" s="9"/>
      <c r="E930" s="9"/>
      <c r="F930" s="9"/>
      <c r="G930" s="9"/>
      <c r="H930" s="9"/>
      <c r="I930" s="8"/>
      <c r="J930" s="8"/>
      <c r="K930" s="8"/>
      <c r="L930" s="8"/>
      <c r="M930" s="8"/>
      <c r="N930" s="8"/>
      <c r="O930" s="8"/>
      <c r="P930" s="9"/>
      <c r="Q930" s="9"/>
      <c r="R930" s="9"/>
      <c r="S930" s="8"/>
      <c r="T930" s="8"/>
      <c r="U930" s="8"/>
      <c r="V930" s="8"/>
      <c r="W930" s="8"/>
      <c r="X930" s="8"/>
      <c r="Y930" s="8"/>
      <c r="Z930" s="194"/>
      <c r="AA930" s="194"/>
      <c r="AB930" s="194"/>
      <c r="AC930" s="11"/>
      <c r="AD930" s="11"/>
      <c r="AE930" s="11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3"/>
      <c r="AY930" s="13"/>
      <c r="AZ930" s="13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</row>
    <row r="931" spans="1:63" ht="14.25" customHeight="1" x14ac:dyDescent="0.25">
      <c r="A931" s="9"/>
      <c r="B931" s="2"/>
      <c r="C931" s="3"/>
      <c r="D931" s="9"/>
      <c r="E931" s="9"/>
      <c r="F931" s="9"/>
      <c r="G931" s="9"/>
      <c r="H931" s="9"/>
      <c r="I931" s="8"/>
      <c r="J931" s="8"/>
      <c r="K931" s="8"/>
      <c r="L931" s="8"/>
      <c r="M931" s="8"/>
      <c r="N931" s="8"/>
      <c r="O931" s="8"/>
      <c r="P931" s="9"/>
      <c r="Q931" s="9"/>
      <c r="R931" s="9"/>
      <c r="S931" s="8"/>
      <c r="T931" s="8"/>
      <c r="U931" s="8"/>
      <c r="V931" s="8"/>
      <c r="W931" s="8"/>
      <c r="X931" s="8"/>
      <c r="Y931" s="8"/>
      <c r="Z931" s="194"/>
      <c r="AA931" s="194"/>
      <c r="AB931" s="194"/>
      <c r="AC931" s="11"/>
      <c r="AD931" s="11"/>
      <c r="AE931" s="11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3"/>
      <c r="AY931" s="13"/>
      <c r="AZ931" s="13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</row>
    <row r="932" spans="1:63" ht="14.25" customHeight="1" x14ac:dyDescent="0.25">
      <c r="A932" s="9"/>
      <c r="B932" s="2"/>
      <c r="C932" s="3"/>
      <c r="D932" s="9"/>
      <c r="E932" s="9"/>
      <c r="F932" s="9"/>
      <c r="G932" s="9"/>
      <c r="H932" s="9"/>
      <c r="I932" s="8"/>
      <c r="J932" s="8"/>
      <c r="K932" s="8"/>
      <c r="L932" s="8"/>
      <c r="M932" s="8"/>
      <c r="N932" s="8"/>
      <c r="O932" s="8"/>
      <c r="P932" s="9"/>
      <c r="Q932" s="9"/>
      <c r="R932" s="9"/>
      <c r="S932" s="8"/>
      <c r="T932" s="8"/>
      <c r="U932" s="8"/>
      <c r="V932" s="8"/>
      <c r="W932" s="8"/>
      <c r="X932" s="8"/>
      <c r="Y932" s="8"/>
      <c r="Z932" s="194"/>
      <c r="AA932" s="194"/>
      <c r="AB932" s="194"/>
      <c r="AC932" s="11"/>
      <c r="AD932" s="11"/>
      <c r="AE932" s="11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3"/>
      <c r="AY932" s="13"/>
      <c r="AZ932" s="13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</row>
    <row r="933" spans="1:63" ht="14.25" customHeight="1" x14ac:dyDescent="0.25">
      <c r="A933" s="9"/>
      <c r="B933" s="2"/>
      <c r="C933" s="3"/>
      <c r="D933" s="9"/>
      <c r="E933" s="9"/>
      <c r="F933" s="9"/>
      <c r="G933" s="9"/>
      <c r="H933" s="9"/>
      <c r="I933" s="8"/>
      <c r="J933" s="8"/>
      <c r="K933" s="8"/>
      <c r="L933" s="8"/>
      <c r="M933" s="8"/>
      <c r="N933" s="8"/>
      <c r="O933" s="8"/>
      <c r="P933" s="9"/>
      <c r="Q933" s="9"/>
      <c r="R933" s="9"/>
      <c r="S933" s="8"/>
      <c r="T933" s="8"/>
      <c r="U933" s="8"/>
      <c r="V933" s="8"/>
      <c r="W933" s="8"/>
      <c r="X933" s="8"/>
      <c r="Y933" s="8"/>
      <c r="Z933" s="194"/>
      <c r="AA933" s="194"/>
      <c r="AB933" s="194"/>
      <c r="AC933" s="11"/>
      <c r="AD933" s="11"/>
      <c r="AE933" s="11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3"/>
      <c r="AY933" s="13"/>
      <c r="AZ933" s="13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</row>
    <row r="934" spans="1:63" ht="14.25" customHeight="1" x14ac:dyDescent="0.25">
      <c r="A934" s="9"/>
      <c r="B934" s="2"/>
      <c r="C934" s="3"/>
      <c r="D934" s="9"/>
      <c r="E934" s="9"/>
      <c r="F934" s="9"/>
      <c r="G934" s="9"/>
      <c r="H934" s="9"/>
      <c r="I934" s="8"/>
      <c r="J934" s="8"/>
      <c r="K934" s="8"/>
      <c r="L934" s="8"/>
      <c r="M934" s="8"/>
      <c r="N934" s="8"/>
      <c r="O934" s="8"/>
      <c r="P934" s="9"/>
      <c r="Q934" s="9"/>
      <c r="R934" s="9"/>
      <c r="S934" s="8"/>
      <c r="T934" s="8"/>
      <c r="U934" s="8"/>
      <c r="V934" s="8"/>
      <c r="W934" s="8"/>
      <c r="X934" s="8"/>
      <c r="Y934" s="8"/>
      <c r="Z934" s="194"/>
      <c r="AA934" s="194"/>
      <c r="AB934" s="194"/>
      <c r="AC934" s="11"/>
      <c r="AD934" s="11"/>
      <c r="AE934" s="11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3"/>
      <c r="AY934" s="13"/>
      <c r="AZ934" s="13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</row>
    <row r="935" spans="1:63" ht="14.25" customHeight="1" x14ac:dyDescent="0.25">
      <c r="A935" s="9"/>
      <c r="B935" s="2"/>
      <c r="C935" s="3"/>
      <c r="D935" s="9"/>
      <c r="E935" s="9"/>
      <c r="F935" s="9"/>
      <c r="G935" s="9"/>
      <c r="H935" s="9"/>
      <c r="I935" s="8"/>
      <c r="J935" s="8"/>
      <c r="K935" s="8"/>
      <c r="L935" s="8"/>
      <c r="M935" s="8"/>
      <c r="N935" s="8"/>
      <c r="O935" s="8"/>
      <c r="P935" s="9"/>
      <c r="Q935" s="9"/>
      <c r="R935" s="9"/>
      <c r="S935" s="8"/>
      <c r="T935" s="8"/>
      <c r="U935" s="8"/>
      <c r="V935" s="8"/>
      <c r="W935" s="8"/>
      <c r="X935" s="8"/>
      <c r="Y935" s="8"/>
      <c r="Z935" s="194"/>
      <c r="AA935" s="194"/>
      <c r="AB935" s="194"/>
      <c r="AC935" s="11"/>
      <c r="AD935" s="11"/>
      <c r="AE935" s="11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3"/>
      <c r="AY935" s="13"/>
      <c r="AZ935" s="13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</row>
    <row r="936" spans="1:63" ht="14.25" customHeight="1" x14ac:dyDescent="0.25">
      <c r="A936" s="9"/>
      <c r="B936" s="2"/>
      <c r="C936" s="3"/>
      <c r="D936" s="9"/>
      <c r="E936" s="9"/>
      <c r="F936" s="9"/>
      <c r="G936" s="9"/>
      <c r="H936" s="9"/>
      <c r="I936" s="8"/>
      <c r="J936" s="8"/>
      <c r="K936" s="8"/>
      <c r="L936" s="8"/>
      <c r="M936" s="8"/>
      <c r="N936" s="8"/>
      <c r="O936" s="8"/>
      <c r="P936" s="9"/>
      <c r="Q936" s="9"/>
      <c r="R936" s="9"/>
      <c r="S936" s="8"/>
      <c r="T936" s="8"/>
      <c r="U936" s="8"/>
      <c r="V936" s="8"/>
      <c r="W936" s="8"/>
      <c r="X936" s="8"/>
      <c r="Y936" s="8"/>
      <c r="Z936" s="194"/>
      <c r="AA936" s="194"/>
      <c r="AB936" s="194"/>
      <c r="AC936" s="11"/>
      <c r="AD936" s="11"/>
      <c r="AE936" s="11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3"/>
      <c r="AY936" s="13"/>
      <c r="AZ936" s="13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</row>
    <row r="937" spans="1:63" ht="14.25" customHeight="1" x14ac:dyDescent="0.25">
      <c r="A937" s="9"/>
      <c r="B937" s="2"/>
      <c r="C937" s="3"/>
      <c r="D937" s="9"/>
      <c r="E937" s="9"/>
      <c r="F937" s="9"/>
      <c r="G937" s="9"/>
      <c r="H937" s="9"/>
      <c r="I937" s="8"/>
      <c r="J937" s="8"/>
      <c r="K937" s="8"/>
      <c r="L937" s="8"/>
      <c r="M937" s="8"/>
      <c r="N937" s="8"/>
      <c r="O937" s="8"/>
      <c r="P937" s="9"/>
      <c r="Q937" s="9"/>
      <c r="R937" s="9"/>
      <c r="S937" s="8"/>
      <c r="T937" s="8"/>
      <c r="U937" s="8"/>
      <c r="V937" s="8"/>
      <c r="W937" s="8"/>
      <c r="X937" s="8"/>
      <c r="Y937" s="8"/>
      <c r="Z937" s="194"/>
      <c r="AA937" s="194"/>
      <c r="AB937" s="194"/>
      <c r="AC937" s="11"/>
      <c r="AD937" s="11"/>
      <c r="AE937" s="11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3"/>
      <c r="AY937" s="13"/>
      <c r="AZ937" s="13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</row>
    <row r="938" spans="1:63" ht="14.25" customHeight="1" x14ac:dyDescent="0.25">
      <c r="A938" s="9"/>
      <c r="B938" s="2"/>
      <c r="C938" s="3"/>
      <c r="D938" s="9"/>
      <c r="E938" s="9"/>
      <c r="F938" s="9"/>
      <c r="G938" s="9"/>
      <c r="H938" s="9"/>
      <c r="I938" s="8"/>
      <c r="J938" s="8"/>
      <c r="K938" s="8"/>
      <c r="L938" s="8"/>
      <c r="M938" s="8"/>
      <c r="N938" s="8"/>
      <c r="O938" s="8"/>
      <c r="P938" s="9"/>
      <c r="Q938" s="9"/>
      <c r="R938" s="9"/>
      <c r="S938" s="8"/>
      <c r="T938" s="8"/>
      <c r="U938" s="8"/>
      <c r="V938" s="8"/>
      <c r="W938" s="8"/>
      <c r="X938" s="8"/>
      <c r="Y938" s="8"/>
      <c r="Z938" s="194"/>
      <c r="AA938" s="194"/>
      <c r="AB938" s="194"/>
      <c r="AC938" s="11"/>
      <c r="AD938" s="11"/>
      <c r="AE938" s="11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3"/>
      <c r="AY938" s="13"/>
      <c r="AZ938" s="13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</row>
    <row r="939" spans="1:63" ht="14.25" customHeight="1" x14ac:dyDescent="0.25">
      <c r="A939" s="9"/>
      <c r="B939" s="2"/>
      <c r="C939" s="3"/>
      <c r="D939" s="9"/>
      <c r="E939" s="9"/>
      <c r="F939" s="9"/>
      <c r="G939" s="9"/>
      <c r="H939" s="9"/>
      <c r="I939" s="8"/>
      <c r="J939" s="8"/>
      <c r="K939" s="8"/>
      <c r="L939" s="8"/>
      <c r="M939" s="8"/>
      <c r="N939" s="8"/>
      <c r="O939" s="8"/>
      <c r="P939" s="9"/>
      <c r="Q939" s="9"/>
      <c r="R939" s="9"/>
      <c r="S939" s="8"/>
      <c r="T939" s="8"/>
      <c r="U939" s="8"/>
      <c r="V939" s="8"/>
      <c r="W939" s="8"/>
      <c r="X939" s="8"/>
      <c r="Y939" s="8"/>
      <c r="Z939" s="194"/>
      <c r="AA939" s="194"/>
      <c r="AB939" s="194"/>
      <c r="AC939" s="11"/>
      <c r="AD939" s="11"/>
      <c r="AE939" s="11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3"/>
      <c r="AY939" s="13"/>
      <c r="AZ939" s="13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</row>
    <row r="940" spans="1:63" ht="14.25" customHeight="1" x14ac:dyDescent="0.25">
      <c r="A940" s="9"/>
      <c r="B940" s="2"/>
      <c r="C940" s="3"/>
      <c r="D940" s="9"/>
      <c r="E940" s="9"/>
      <c r="F940" s="9"/>
      <c r="G940" s="9"/>
      <c r="H940" s="9"/>
      <c r="I940" s="8"/>
      <c r="J940" s="8"/>
      <c r="K940" s="8"/>
      <c r="L940" s="8"/>
      <c r="M940" s="8"/>
      <c r="N940" s="8"/>
      <c r="O940" s="8"/>
      <c r="P940" s="9"/>
      <c r="Q940" s="9"/>
      <c r="R940" s="9"/>
      <c r="S940" s="8"/>
      <c r="T940" s="8"/>
      <c r="U940" s="8"/>
      <c r="V940" s="8"/>
      <c r="W940" s="8"/>
      <c r="X940" s="8"/>
      <c r="Y940" s="8"/>
      <c r="Z940" s="194"/>
      <c r="AA940" s="194"/>
      <c r="AB940" s="194"/>
      <c r="AC940" s="11"/>
      <c r="AD940" s="11"/>
      <c r="AE940" s="11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3"/>
      <c r="AY940" s="13"/>
      <c r="AZ940" s="13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</row>
    <row r="941" spans="1:63" ht="14.25" customHeight="1" x14ac:dyDescent="0.25">
      <c r="A941" s="9"/>
      <c r="B941" s="2"/>
      <c r="C941" s="3"/>
      <c r="D941" s="9"/>
      <c r="E941" s="9"/>
      <c r="F941" s="9"/>
      <c r="G941" s="9"/>
      <c r="H941" s="9"/>
      <c r="I941" s="8"/>
      <c r="J941" s="8"/>
      <c r="K941" s="8"/>
      <c r="L941" s="8"/>
      <c r="M941" s="8"/>
      <c r="N941" s="8"/>
      <c r="O941" s="8"/>
      <c r="P941" s="9"/>
      <c r="Q941" s="9"/>
      <c r="R941" s="9"/>
      <c r="S941" s="8"/>
      <c r="T941" s="8"/>
      <c r="U941" s="8"/>
      <c r="V941" s="8"/>
      <c r="W941" s="8"/>
      <c r="X941" s="8"/>
      <c r="Y941" s="8"/>
      <c r="Z941" s="194"/>
      <c r="AA941" s="194"/>
      <c r="AB941" s="194"/>
      <c r="AC941" s="11"/>
      <c r="AD941" s="11"/>
      <c r="AE941" s="11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3"/>
      <c r="AY941" s="13"/>
      <c r="AZ941" s="13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</row>
    <row r="942" spans="1:63" ht="14.25" customHeight="1" x14ac:dyDescent="0.25">
      <c r="A942" s="9"/>
      <c r="B942" s="2"/>
      <c r="C942" s="3"/>
      <c r="D942" s="9"/>
      <c r="E942" s="9"/>
      <c r="F942" s="9"/>
      <c r="G942" s="9"/>
      <c r="H942" s="9"/>
      <c r="I942" s="8"/>
      <c r="J942" s="8"/>
      <c r="K942" s="8"/>
      <c r="L942" s="8"/>
      <c r="M942" s="8"/>
      <c r="N942" s="8"/>
      <c r="O942" s="8"/>
      <c r="P942" s="9"/>
      <c r="Q942" s="9"/>
      <c r="R942" s="9"/>
      <c r="S942" s="8"/>
      <c r="T942" s="8"/>
      <c r="U942" s="8"/>
      <c r="V942" s="8"/>
      <c r="W942" s="8"/>
      <c r="X942" s="8"/>
      <c r="Y942" s="8"/>
      <c r="Z942" s="194"/>
      <c r="AA942" s="194"/>
      <c r="AB942" s="194"/>
      <c r="AC942" s="11"/>
      <c r="AD942" s="11"/>
      <c r="AE942" s="11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3"/>
      <c r="AY942" s="13"/>
      <c r="AZ942" s="13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</row>
    <row r="943" spans="1:63" ht="14.25" customHeight="1" x14ac:dyDescent="0.25">
      <c r="A943" s="9"/>
      <c r="B943" s="2"/>
      <c r="C943" s="3"/>
      <c r="D943" s="9"/>
      <c r="E943" s="9"/>
      <c r="F943" s="9"/>
      <c r="G943" s="9"/>
      <c r="H943" s="9"/>
      <c r="I943" s="8"/>
      <c r="J943" s="8"/>
      <c r="K943" s="8"/>
      <c r="L943" s="8"/>
      <c r="M943" s="8"/>
      <c r="N943" s="8"/>
      <c r="O943" s="8"/>
      <c r="P943" s="9"/>
      <c r="Q943" s="9"/>
      <c r="R943" s="9"/>
      <c r="S943" s="8"/>
      <c r="T943" s="8"/>
      <c r="U943" s="8"/>
      <c r="V943" s="8"/>
      <c r="W943" s="8"/>
      <c r="X943" s="8"/>
      <c r="Y943" s="8"/>
      <c r="Z943" s="194"/>
      <c r="AA943" s="194"/>
      <c r="AB943" s="194"/>
      <c r="AC943" s="11"/>
      <c r="AD943" s="11"/>
      <c r="AE943" s="11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3"/>
      <c r="AY943" s="13"/>
      <c r="AZ943" s="13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</row>
    <row r="944" spans="1:63" ht="14.25" customHeight="1" x14ac:dyDescent="0.25">
      <c r="A944" s="9"/>
      <c r="B944" s="2"/>
      <c r="C944" s="3"/>
      <c r="D944" s="9"/>
      <c r="E944" s="9"/>
      <c r="F944" s="9"/>
      <c r="G944" s="9"/>
      <c r="H944" s="9"/>
      <c r="I944" s="8"/>
      <c r="J944" s="8"/>
      <c r="K944" s="8"/>
      <c r="L944" s="8"/>
      <c r="M944" s="8"/>
      <c r="N944" s="8"/>
      <c r="O944" s="8"/>
      <c r="P944" s="9"/>
      <c r="Q944" s="9"/>
      <c r="R944" s="9"/>
      <c r="S944" s="8"/>
      <c r="T944" s="8"/>
      <c r="U944" s="8"/>
      <c r="V944" s="8"/>
      <c r="W944" s="8"/>
      <c r="X944" s="8"/>
      <c r="Y944" s="8"/>
      <c r="Z944" s="194"/>
      <c r="AA944" s="194"/>
      <c r="AB944" s="194"/>
      <c r="AC944" s="11"/>
      <c r="AD944" s="11"/>
      <c r="AE944" s="11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3"/>
      <c r="AY944" s="13"/>
      <c r="AZ944" s="13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</row>
    <row r="945" spans="1:63" ht="14.25" customHeight="1" x14ac:dyDescent="0.25">
      <c r="A945" s="9"/>
      <c r="B945" s="2"/>
      <c r="C945" s="3"/>
      <c r="D945" s="9"/>
      <c r="E945" s="9"/>
      <c r="F945" s="9"/>
      <c r="G945" s="9"/>
      <c r="H945" s="9"/>
      <c r="I945" s="8"/>
      <c r="J945" s="8"/>
      <c r="K945" s="8"/>
      <c r="L945" s="8"/>
      <c r="M945" s="8"/>
      <c r="N945" s="8"/>
      <c r="O945" s="8"/>
      <c r="P945" s="9"/>
      <c r="Q945" s="9"/>
      <c r="R945" s="9"/>
      <c r="S945" s="8"/>
      <c r="T945" s="8"/>
      <c r="U945" s="8"/>
      <c r="V945" s="8"/>
      <c r="W945" s="8"/>
      <c r="X945" s="8"/>
      <c r="Y945" s="8"/>
      <c r="Z945" s="194"/>
      <c r="AA945" s="194"/>
      <c r="AB945" s="194"/>
      <c r="AC945" s="11"/>
      <c r="AD945" s="11"/>
      <c r="AE945" s="11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3"/>
      <c r="AY945" s="13"/>
      <c r="AZ945" s="13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</row>
    <row r="946" spans="1:63" ht="14.25" customHeight="1" x14ac:dyDescent="0.25">
      <c r="A946" s="9"/>
      <c r="B946" s="2"/>
      <c r="C946" s="3"/>
      <c r="D946" s="9"/>
      <c r="E946" s="9"/>
      <c r="F946" s="9"/>
      <c r="G946" s="9"/>
      <c r="H946" s="9"/>
      <c r="I946" s="8"/>
      <c r="J946" s="8"/>
      <c r="K946" s="8"/>
      <c r="L946" s="8"/>
      <c r="M946" s="8"/>
      <c r="N946" s="8"/>
      <c r="O946" s="8"/>
      <c r="P946" s="9"/>
      <c r="Q946" s="9"/>
      <c r="R946" s="9"/>
      <c r="S946" s="8"/>
      <c r="T946" s="8"/>
      <c r="U946" s="8"/>
      <c r="V946" s="8"/>
      <c r="W946" s="8"/>
      <c r="X946" s="8"/>
      <c r="Y946" s="8"/>
      <c r="Z946" s="194"/>
      <c r="AA946" s="194"/>
      <c r="AB946" s="194"/>
      <c r="AC946" s="11"/>
      <c r="AD946" s="11"/>
      <c r="AE946" s="11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3"/>
      <c r="AY946" s="13"/>
      <c r="AZ946" s="13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</row>
    <row r="947" spans="1:63" ht="14.25" customHeight="1" x14ac:dyDescent="0.25">
      <c r="A947" s="9"/>
      <c r="B947" s="2"/>
      <c r="C947" s="3"/>
      <c r="D947" s="9"/>
      <c r="E947" s="9"/>
      <c r="F947" s="9"/>
      <c r="G947" s="9"/>
      <c r="H947" s="9"/>
      <c r="I947" s="8"/>
      <c r="J947" s="8"/>
      <c r="K947" s="8"/>
      <c r="L947" s="8"/>
      <c r="M947" s="8"/>
      <c r="N947" s="8"/>
      <c r="O947" s="8"/>
      <c r="P947" s="9"/>
      <c r="Q947" s="9"/>
      <c r="R947" s="9"/>
      <c r="S947" s="8"/>
      <c r="T947" s="8"/>
      <c r="U947" s="8"/>
      <c r="V947" s="8"/>
      <c r="W947" s="8"/>
      <c r="X947" s="8"/>
      <c r="Y947" s="8"/>
      <c r="Z947" s="194"/>
      <c r="AA947" s="194"/>
      <c r="AB947" s="194"/>
      <c r="AC947" s="11"/>
      <c r="AD947" s="11"/>
      <c r="AE947" s="11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3"/>
      <c r="AY947" s="13"/>
      <c r="AZ947" s="13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</row>
    <row r="948" spans="1:63" ht="14.25" customHeight="1" x14ac:dyDescent="0.25">
      <c r="A948" s="9"/>
      <c r="B948" s="2"/>
      <c r="C948" s="3"/>
      <c r="D948" s="9"/>
      <c r="E948" s="9"/>
      <c r="F948" s="9"/>
      <c r="G948" s="9"/>
      <c r="H948" s="9"/>
      <c r="I948" s="8"/>
      <c r="J948" s="8"/>
      <c r="K948" s="8"/>
      <c r="L948" s="8"/>
      <c r="M948" s="8"/>
      <c r="N948" s="8"/>
      <c r="O948" s="8"/>
      <c r="P948" s="9"/>
      <c r="Q948" s="9"/>
      <c r="R948" s="9"/>
      <c r="S948" s="8"/>
      <c r="T948" s="8"/>
      <c r="U948" s="8"/>
      <c r="V948" s="8"/>
      <c r="W948" s="8"/>
      <c r="X948" s="8"/>
      <c r="Y948" s="8"/>
      <c r="Z948" s="194"/>
      <c r="AA948" s="194"/>
      <c r="AB948" s="194"/>
      <c r="AC948" s="11"/>
      <c r="AD948" s="11"/>
      <c r="AE948" s="11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3"/>
      <c r="AY948" s="13"/>
      <c r="AZ948" s="13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</row>
    <row r="949" spans="1:63" ht="14.25" customHeight="1" x14ac:dyDescent="0.25">
      <c r="A949" s="9"/>
      <c r="B949" s="2"/>
      <c r="C949" s="3"/>
      <c r="D949" s="9"/>
      <c r="E949" s="9"/>
      <c r="F949" s="9"/>
      <c r="G949" s="9"/>
      <c r="H949" s="9"/>
      <c r="I949" s="8"/>
      <c r="J949" s="8"/>
      <c r="K949" s="8"/>
      <c r="L949" s="8"/>
      <c r="M949" s="8"/>
      <c r="N949" s="8"/>
      <c r="O949" s="8"/>
      <c r="P949" s="9"/>
      <c r="Q949" s="9"/>
      <c r="R949" s="9"/>
      <c r="S949" s="8"/>
      <c r="T949" s="8"/>
      <c r="U949" s="8"/>
      <c r="V949" s="8"/>
      <c r="W949" s="8"/>
      <c r="X949" s="8"/>
      <c r="Y949" s="8"/>
      <c r="Z949" s="194"/>
      <c r="AA949" s="194"/>
      <c r="AB949" s="194"/>
      <c r="AC949" s="11"/>
      <c r="AD949" s="11"/>
      <c r="AE949" s="11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3"/>
      <c r="AY949" s="13"/>
      <c r="AZ949" s="13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</row>
    <row r="950" spans="1:63" ht="14.25" customHeight="1" x14ac:dyDescent="0.25">
      <c r="A950" s="9"/>
      <c r="B950" s="2"/>
      <c r="C950" s="3"/>
      <c r="D950" s="9"/>
      <c r="E950" s="9"/>
      <c r="F950" s="9"/>
      <c r="G950" s="9"/>
      <c r="H950" s="9"/>
      <c r="I950" s="8"/>
      <c r="J950" s="8"/>
      <c r="K950" s="8"/>
      <c r="L950" s="8"/>
      <c r="M950" s="8"/>
      <c r="N950" s="8"/>
      <c r="O950" s="8"/>
      <c r="P950" s="9"/>
      <c r="Q950" s="9"/>
      <c r="R950" s="9"/>
      <c r="S950" s="8"/>
      <c r="T950" s="8"/>
      <c r="U950" s="8"/>
      <c r="V950" s="8"/>
      <c r="W950" s="8"/>
      <c r="X950" s="8"/>
      <c r="Y950" s="8"/>
      <c r="Z950" s="194"/>
      <c r="AA950" s="194"/>
      <c r="AB950" s="194"/>
      <c r="AC950" s="11"/>
      <c r="AD950" s="11"/>
      <c r="AE950" s="11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3"/>
      <c r="AY950" s="13"/>
      <c r="AZ950" s="13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</row>
    <row r="951" spans="1:63" ht="14.25" customHeight="1" x14ac:dyDescent="0.25">
      <c r="A951" s="9"/>
      <c r="B951" s="2"/>
      <c r="C951" s="3"/>
      <c r="D951" s="9"/>
      <c r="E951" s="9"/>
      <c r="F951" s="9"/>
      <c r="G951" s="9"/>
      <c r="H951" s="9"/>
      <c r="I951" s="8"/>
      <c r="J951" s="8"/>
      <c r="K951" s="8"/>
      <c r="L951" s="8"/>
      <c r="M951" s="8"/>
      <c r="N951" s="8"/>
      <c r="O951" s="8"/>
      <c r="P951" s="9"/>
      <c r="Q951" s="9"/>
      <c r="R951" s="9"/>
      <c r="S951" s="8"/>
      <c r="T951" s="8"/>
      <c r="U951" s="8"/>
      <c r="V951" s="8"/>
      <c r="W951" s="8"/>
      <c r="X951" s="8"/>
      <c r="Y951" s="8"/>
      <c r="Z951" s="194"/>
      <c r="AA951" s="194"/>
      <c r="AB951" s="194"/>
      <c r="AC951" s="11"/>
      <c r="AD951" s="11"/>
      <c r="AE951" s="11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3"/>
      <c r="AY951" s="13"/>
      <c r="AZ951" s="13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</row>
    <row r="952" spans="1:63" ht="14.25" customHeight="1" x14ac:dyDescent="0.25">
      <c r="A952" s="9"/>
      <c r="B952" s="2"/>
      <c r="C952" s="3"/>
      <c r="D952" s="9"/>
      <c r="E952" s="9"/>
      <c r="F952" s="9"/>
      <c r="G952" s="9"/>
      <c r="H952" s="9"/>
      <c r="I952" s="8"/>
      <c r="J952" s="8"/>
      <c r="K952" s="8"/>
      <c r="L952" s="8"/>
      <c r="M952" s="8"/>
      <c r="N952" s="8"/>
      <c r="O952" s="8"/>
      <c r="P952" s="9"/>
      <c r="Q952" s="9"/>
      <c r="R952" s="9"/>
      <c r="S952" s="8"/>
      <c r="T952" s="8"/>
      <c r="U952" s="8"/>
      <c r="V952" s="8"/>
      <c r="W952" s="8"/>
      <c r="X952" s="8"/>
      <c r="Y952" s="8"/>
      <c r="Z952" s="194"/>
      <c r="AA952" s="194"/>
      <c r="AB952" s="194"/>
      <c r="AC952" s="11"/>
      <c r="AD952" s="11"/>
      <c r="AE952" s="11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3"/>
      <c r="AY952" s="13"/>
      <c r="AZ952" s="13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</row>
    <row r="953" spans="1:63" ht="14.25" customHeight="1" x14ac:dyDescent="0.25">
      <c r="A953" s="9"/>
      <c r="B953" s="2"/>
      <c r="C953" s="3"/>
      <c r="D953" s="9"/>
      <c r="E953" s="9"/>
      <c r="F953" s="9"/>
      <c r="G953" s="9"/>
      <c r="H953" s="9"/>
      <c r="I953" s="8"/>
      <c r="J953" s="8"/>
      <c r="K953" s="8"/>
      <c r="L953" s="8"/>
      <c r="M953" s="8"/>
      <c r="N953" s="8"/>
      <c r="O953" s="8"/>
      <c r="P953" s="9"/>
      <c r="Q953" s="9"/>
      <c r="R953" s="9"/>
      <c r="S953" s="8"/>
      <c r="T953" s="8"/>
      <c r="U953" s="8"/>
      <c r="V953" s="8"/>
      <c r="W953" s="8"/>
      <c r="X953" s="8"/>
      <c r="Y953" s="8"/>
      <c r="Z953" s="194"/>
      <c r="AA953" s="194"/>
      <c r="AB953" s="194"/>
      <c r="AC953" s="11"/>
      <c r="AD953" s="11"/>
      <c r="AE953" s="11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3"/>
      <c r="AY953" s="13"/>
      <c r="AZ953" s="13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</row>
    <row r="954" spans="1:63" ht="14.25" customHeight="1" x14ac:dyDescent="0.25">
      <c r="A954" s="9"/>
      <c r="B954" s="2"/>
      <c r="C954" s="3"/>
      <c r="D954" s="9"/>
      <c r="E954" s="9"/>
      <c r="F954" s="9"/>
      <c r="G954" s="9"/>
      <c r="H954" s="9"/>
      <c r="I954" s="8"/>
      <c r="J954" s="8"/>
      <c r="K954" s="8"/>
      <c r="L954" s="8"/>
      <c r="M954" s="8"/>
      <c r="N954" s="8"/>
      <c r="O954" s="8"/>
      <c r="P954" s="9"/>
      <c r="Q954" s="9"/>
      <c r="R954" s="9"/>
      <c r="S954" s="8"/>
      <c r="T954" s="8"/>
      <c r="U954" s="8"/>
      <c r="V954" s="8"/>
      <c r="W954" s="8"/>
      <c r="X954" s="8"/>
      <c r="Y954" s="8"/>
      <c r="Z954" s="194"/>
      <c r="AA954" s="194"/>
      <c r="AB954" s="194"/>
      <c r="AC954" s="11"/>
      <c r="AD954" s="11"/>
      <c r="AE954" s="11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3"/>
      <c r="AY954" s="13"/>
      <c r="AZ954" s="13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</row>
    <row r="955" spans="1:63" ht="14.25" customHeight="1" x14ac:dyDescent="0.25">
      <c r="A955" s="9"/>
      <c r="B955" s="2"/>
      <c r="C955" s="3"/>
      <c r="D955" s="9"/>
      <c r="E955" s="9"/>
      <c r="F955" s="9"/>
      <c r="G955" s="9"/>
      <c r="H955" s="9"/>
      <c r="I955" s="8"/>
      <c r="J955" s="8"/>
      <c r="K955" s="8"/>
      <c r="L955" s="8"/>
      <c r="M955" s="8"/>
      <c r="N955" s="8"/>
      <c r="O955" s="8"/>
      <c r="P955" s="9"/>
      <c r="Q955" s="9"/>
      <c r="R955" s="9"/>
      <c r="S955" s="8"/>
      <c r="T955" s="8"/>
      <c r="U955" s="8"/>
      <c r="V955" s="8"/>
      <c r="W955" s="8"/>
      <c r="X955" s="8"/>
      <c r="Y955" s="8"/>
      <c r="Z955" s="194"/>
      <c r="AA955" s="194"/>
      <c r="AB955" s="194"/>
      <c r="AC955" s="11"/>
      <c r="AD955" s="11"/>
      <c r="AE955" s="11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3"/>
      <c r="AY955" s="13"/>
      <c r="AZ955" s="13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</row>
    <row r="956" spans="1:63" ht="14.25" customHeight="1" x14ac:dyDescent="0.25">
      <c r="A956" s="9"/>
      <c r="B956" s="2"/>
      <c r="C956" s="3"/>
      <c r="D956" s="9"/>
      <c r="E956" s="9"/>
      <c r="F956" s="9"/>
      <c r="G956" s="9"/>
      <c r="H956" s="9"/>
      <c r="I956" s="8"/>
      <c r="J956" s="8"/>
      <c r="K956" s="8"/>
      <c r="L956" s="8"/>
      <c r="M956" s="8"/>
      <c r="N956" s="8"/>
      <c r="O956" s="8"/>
      <c r="P956" s="9"/>
      <c r="Q956" s="9"/>
      <c r="R956" s="9"/>
      <c r="S956" s="8"/>
      <c r="T956" s="8"/>
      <c r="U956" s="8"/>
      <c r="V956" s="8"/>
      <c r="W956" s="8"/>
      <c r="X956" s="8"/>
      <c r="Y956" s="8"/>
      <c r="Z956" s="194"/>
      <c r="AA956" s="194"/>
      <c r="AB956" s="194"/>
      <c r="AC956" s="11"/>
      <c r="AD956" s="11"/>
      <c r="AE956" s="11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3"/>
      <c r="AY956" s="13"/>
      <c r="AZ956" s="13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</row>
    <row r="957" spans="1:63" ht="14.25" customHeight="1" x14ac:dyDescent="0.25">
      <c r="A957" s="9"/>
      <c r="B957" s="2"/>
      <c r="C957" s="3"/>
      <c r="D957" s="9"/>
      <c r="E957" s="9"/>
      <c r="F957" s="9"/>
      <c r="G957" s="9"/>
      <c r="H957" s="9"/>
      <c r="I957" s="8"/>
      <c r="J957" s="8"/>
      <c r="K957" s="8"/>
      <c r="L957" s="8"/>
      <c r="M957" s="8"/>
      <c r="N957" s="8"/>
      <c r="O957" s="8"/>
      <c r="P957" s="9"/>
      <c r="Q957" s="9"/>
      <c r="R957" s="9"/>
      <c r="S957" s="8"/>
      <c r="T957" s="8"/>
      <c r="U957" s="8"/>
      <c r="V957" s="8"/>
      <c r="W957" s="8"/>
      <c r="X957" s="8"/>
      <c r="Y957" s="8"/>
      <c r="Z957" s="194"/>
      <c r="AA957" s="194"/>
      <c r="AB957" s="194"/>
      <c r="AC957" s="11"/>
      <c r="AD957" s="11"/>
      <c r="AE957" s="11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3"/>
      <c r="AY957" s="13"/>
      <c r="AZ957" s="13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</row>
    <row r="958" spans="1:63" ht="14.25" customHeight="1" x14ac:dyDescent="0.25">
      <c r="A958" s="9"/>
      <c r="B958" s="2"/>
      <c r="C958" s="3"/>
      <c r="D958" s="9"/>
      <c r="E958" s="9"/>
      <c r="F958" s="9"/>
      <c r="G958" s="9"/>
      <c r="H958" s="9"/>
      <c r="I958" s="8"/>
      <c r="J958" s="8"/>
      <c r="K958" s="8"/>
      <c r="L958" s="8"/>
      <c r="M958" s="8"/>
      <c r="N958" s="8"/>
      <c r="O958" s="8"/>
      <c r="P958" s="9"/>
      <c r="Q958" s="9"/>
      <c r="R958" s="9"/>
      <c r="S958" s="8"/>
      <c r="T958" s="8"/>
      <c r="U958" s="8"/>
      <c r="V958" s="8"/>
      <c r="W958" s="8"/>
      <c r="X958" s="8"/>
      <c r="Y958" s="8"/>
      <c r="Z958" s="194"/>
      <c r="AA958" s="194"/>
      <c r="AB958" s="194"/>
      <c r="AC958" s="11"/>
      <c r="AD958" s="11"/>
      <c r="AE958" s="11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3"/>
      <c r="AY958" s="13"/>
      <c r="AZ958" s="13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</row>
    <row r="959" spans="1:63" ht="14.25" customHeight="1" x14ac:dyDescent="0.25">
      <c r="A959" s="9"/>
      <c r="B959" s="2"/>
      <c r="C959" s="3"/>
      <c r="D959" s="9"/>
      <c r="E959" s="9"/>
      <c r="F959" s="9"/>
      <c r="G959" s="9"/>
      <c r="H959" s="9"/>
      <c r="I959" s="8"/>
      <c r="J959" s="8"/>
      <c r="K959" s="8"/>
      <c r="L959" s="8"/>
      <c r="M959" s="8"/>
      <c r="N959" s="8"/>
      <c r="O959" s="8"/>
      <c r="P959" s="9"/>
      <c r="Q959" s="9"/>
      <c r="R959" s="9"/>
      <c r="S959" s="8"/>
      <c r="T959" s="8"/>
      <c r="U959" s="8"/>
      <c r="V959" s="8"/>
      <c r="W959" s="8"/>
      <c r="X959" s="8"/>
      <c r="Y959" s="8"/>
      <c r="Z959" s="194"/>
      <c r="AA959" s="194"/>
      <c r="AB959" s="194"/>
      <c r="AC959" s="11"/>
      <c r="AD959" s="11"/>
      <c r="AE959" s="11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3"/>
      <c r="AY959" s="13"/>
      <c r="AZ959" s="13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</row>
    <row r="960" spans="1:63" ht="14.25" customHeight="1" x14ac:dyDescent="0.25">
      <c r="A960" s="9"/>
      <c r="B960" s="2"/>
      <c r="C960" s="3"/>
      <c r="D960" s="9"/>
      <c r="E960" s="9"/>
      <c r="F960" s="9"/>
      <c r="G960" s="9"/>
      <c r="H960" s="9"/>
      <c r="I960" s="8"/>
      <c r="J960" s="8"/>
      <c r="K960" s="8"/>
      <c r="L960" s="8"/>
      <c r="M960" s="8"/>
      <c r="N960" s="8"/>
      <c r="O960" s="8"/>
      <c r="P960" s="9"/>
      <c r="Q960" s="9"/>
      <c r="R960" s="9"/>
      <c r="S960" s="8"/>
      <c r="T960" s="8"/>
      <c r="U960" s="8"/>
      <c r="V960" s="8"/>
      <c r="W960" s="8"/>
      <c r="X960" s="8"/>
      <c r="Y960" s="8"/>
      <c r="Z960" s="194"/>
      <c r="AA960" s="194"/>
      <c r="AB960" s="194"/>
      <c r="AC960" s="11"/>
      <c r="AD960" s="11"/>
      <c r="AE960" s="11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3"/>
      <c r="AY960" s="13"/>
      <c r="AZ960" s="13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</row>
    <row r="961" spans="1:63" ht="14.25" customHeight="1" x14ac:dyDescent="0.25">
      <c r="A961" s="9"/>
      <c r="B961" s="2"/>
      <c r="C961" s="3"/>
      <c r="D961" s="9"/>
      <c r="E961" s="9"/>
      <c r="F961" s="9"/>
      <c r="G961" s="9"/>
      <c r="H961" s="9"/>
      <c r="I961" s="8"/>
      <c r="J961" s="8"/>
      <c r="K961" s="8"/>
      <c r="L961" s="8"/>
      <c r="M961" s="8"/>
      <c r="N961" s="8"/>
      <c r="O961" s="8"/>
      <c r="P961" s="9"/>
      <c r="Q961" s="9"/>
      <c r="R961" s="9"/>
      <c r="S961" s="8"/>
      <c r="T961" s="8"/>
      <c r="U961" s="8"/>
      <c r="V961" s="8"/>
      <c r="W961" s="8"/>
      <c r="X961" s="8"/>
      <c r="Y961" s="8"/>
      <c r="Z961" s="194"/>
      <c r="AA961" s="194"/>
      <c r="AB961" s="194"/>
      <c r="AC961" s="11"/>
      <c r="AD961" s="11"/>
      <c r="AE961" s="11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3"/>
      <c r="AY961" s="13"/>
      <c r="AZ961" s="13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</row>
    <row r="962" spans="1:63" ht="14.25" customHeight="1" x14ac:dyDescent="0.25">
      <c r="A962" s="9"/>
      <c r="B962" s="2"/>
      <c r="C962" s="3"/>
      <c r="D962" s="9"/>
      <c r="E962" s="9"/>
      <c r="F962" s="9"/>
      <c r="G962" s="9"/>
      <c r="H962" s="9"/>
      <c r="I962" s="8"/>
      <c r="J962" s="8"/>
      <c r="K962" s="8"/>
      <c r="L962" s="8"/>
      <c r="M962" s="8"/>
      <c r="N962" s="8"/>
      <c r="O962" s="8"/>
      <c r="P962" s="9"/>
      <c r="Q962" s="9"/>
      <c r="R962" s="9"/>
      <c r="S962" s="8"/>
      <c r="T962" s="8"/>
      <c r="U962" s="8"/>
      <c r="V962" s="8"/>
      <c r="W962" s="8"/>
      <c r="X962" s="8"/>
      <c r="Y962" s="8"/>
      <c r="Z962" s="194"/>
      <c r="AA962" s="194"/>
      <c r="AB962" s="194"/>
      <c r="AC962" s="11"/>
      <c r="AD962" s="11"/>
      <c r="AE962" s="11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3"/>
      <c r="AY962" s="13"/>
      <c r="AZ962" s="13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</row>
    <row r="963" spans="1:63" ht="14.25" customHeight="1" x14ac:dyDescent="0.25">
      <c r="A963" s="9"/>
      <c r="B963" s="2"/>
      <c r="C963" s="3"/>
      <c r="D963" s="9"/>
      <c r="E963" s="9"/>
      <c r="F963" s="9"/>
      <c r="G963" s="9"/>
      <c r="H963" s="9"/>
      <c r="I963" s="8"/>
      <c r="J963" s="8"/>
      <c r="K963" s="8"/>
      <c r="L963" s="8"/>
      <c r="M963" s="8"/>
      <c r="N963" s="8"/>
      <c r="O963" s="8"/>
      <c r="P963" s="9"/>
      <c r="Q963" s="9"/>
      <c r="R963" s="9"/>
      <c r="S963" s="8"/>
      <c r="T963" s="8"/>
      <c r="U963" s="8"/>
      <c r="V963" s="8"/>
      <c r="W963" s="8"/>
      <c r="X963" s="8"/>
      <c r="Y963" s="8"/>
      <c r="Z963" s="194"/>
      <c r="AA963" s="194"/>
      <c r="AB963" s="194"/>
      <c r="AC963" s="11"/>
      <c r="AD963" s="11"/>
      <c r="AE963" s="11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3"/>
      <c r="AY963" s="13"/>
      <c r="AZ963" s="13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</row>
    <row r="964" spans="1:63" ht="14.25" customHeight="1" x14ac:dyDescent="0.25">
      <c r="A964" s="9"/>
      <c r="B964" s="2"/>
      <c r="C964" s="3"/>
      <c r="D964" s="9"/>
      <c r="E964" s="9"/>
      <c r="F964" s="9"/>
      <c r="G964" s="9"/>
      <c r="H964" s="9"/>
      <c r="I964" s="8"/>
      <c r="J964" s="8"/>
      <c r="K964" s="8"/>
      <c r="L964" s="8"/>
      <c r="M964" s="8"/>
      <c r="N964" s="8"/>
      <c r="O964" s="8"/>
      <c r="P964" s="9"/>
      <c r="Q964" s="9"/>
      <c r="R964" s="9"/>
      <c r="S964" s="8"/>
      <c r="T964" s="8"/>
      <c r="U964" s="8"/>
      <c r="V964" s="8"/>
      <c r="W964" s="8"/>
      <c r="X964" s="8"/>
      <c r="Y964" s="8"/>
      <c r="Z964" s="194"/>
      <c r="AA964" s="194"/>
      <c r="AB964" s="194"/>
      <c r="AC964" s="11"/>
      <c r="AD964" s="11"/>
      <c r="AE964" s="11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3"/>
      <c r="AY964" s="13"/>
      <c r="AZ964" s="13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</row>
    <row r="965" spans="1:63" ht="14.25" customHeight="1" x14ac:dyDescent="0.25">
      <c r="A965" s="9"/>
      <c r="B965" s="2"/>
      <c r="C965" s="3"/>
      <c r="D965" s="9"/>
      <c r="E965" s="9"/>
      <c r="F965" s="9"/>
      <c r="G965" s="9"/>
      <c r="H965" s="9"/>
      <c r="I965" s="8"/>
      <c r="J965" s="8"/>
      <c r="K965" s="8"/>
      <c r="L965" s="8"/>
      <c r="M965" s="8"/>
      <c r="N965" s="8"/>
      <c r="O965" s="8"/>
      <c r="P965" s="9"/>
      <c r="Q965" s="9"/>
      <c r="R965" s="9"/>
      <c r="S965" s="8"/>
      <c r="T965" s="8"/>
      <c r="U965" s="8"/>
      <c r="V965" s="8"/>
      <c r="W965" s="8"/>
      <c r="X965" s="8"/>
      <c r="Y965" s="8"/>
      <c r="Z965" s="194"/>
      <c r="AA965" s="194"/>
      <c r="AB965" s="194"/>
      <c r="AC965" s="11"/>
      <c r="AD965" s="11"/>
      <c r="AE965" s="11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3"/>
      <c r="AY965" s="13"/>
      <c r="AZ965" s="13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</row>
    <row r="966" spans="1:63" ht="14.25" customHeight="1" x14ac:dyDescent="0.25">
      <c r="A966" s="9"/>
      <c r="B966" s="2"/>
      <c r="C966" s="3"/>
      <c r="D966" s="9"/>
      <c r="E966" s="9"/>
      <c r="F966" s="9"/>
      <c r="G966" s="9"/>
      <c r="H966" s="9"/>
      <c r="I966" s="8"/>
      <c r="J966" s="8"/>
      <c r="K966" s="8"/>
      <c r="L966" s="8"/>
      <c r="M966" s="8"/>
      <c r="N966" s="8"/>
      <c r="O966" s="8"/>
      <c r="P966" s="9"/>
      <c r="Q966" s="9"/>
      <c r="R966" s="9"/>
      <c r="S966" s="8"/>
      <c r="T966" s="8"/>
      <c r="U966" s="8"/>
      <c r="V966" s="8"/>
      <c r="W966" s="8"/>
      <c r="X966" s="8"/>
      <c r="Y966" s="8"/>
      <c r="Z966" s="194"/>
      <c r="AA966" s="194"/>
      <c r="AB966" s="194"/>
      <c r="AC966" s="11"/>
      <c r="AD966" s="11"/>
      <c r="AE966" s="11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3"/>
      <c r="AY966" s="13"/>
      <c r="AZ966" s="13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</row>
    <row r="967" spans="1:63" ht="14.25" customHeight="1" x14ac:dyDescent="0.25">
      <c r="A967" s="9"/>
      <c r="B967" s="2"/>
      <c r="C967" s="3"/>
      <c r="D967" s="9"/>
      <c r="E967" s="9"/>
      <c r="F967" s="9"/>
      <c r="G967" s="9"/>
      <c r="H967" s="9"/>
      <c r="I967" s="8"/>
      <c r="J967" s="8"/>
      <c r="K967" s="8"/>
      <c r="L967" s="8"/>
      <c r="M967" s="8"/>
      <c r="N967" s="8"/>
      <c r="O967" s="8"/>
      <c r="P967" s="9"/>
      <c r="Q967" s="9"/>
      <c r="R967" s="9"/>
      <c r="S967" s="8"/>
      <c r="T967" s="8"/>
      <c r="U967" s="8"/>
      <c r="V967" s="8"/>
      <c r="W967" s="8"/>
      <c r="X967" s="8"/>
      <c r="Y967" s="8"/>
      <c r="Z967" s="194"/>
      <c r="AA967" s="194"/>
      <c r="AB967" s="194"/>
      <c r="AC967" s="11"/>
      <c r="AD967" s="11"/>
      <c r="AE967" s="11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3"/>
      <c r="AY967" s="13"/>
      <c r="AZ967" s="13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</row>
    <row r="968" spans="1:63" ht="14.25" customHeight="1" x14ac:dyDescent="0.25">
      <c r="A968" s="9"/>
      <c r="B968" s="2"/>
      <c r="C968" s="3"/>
      <c r="D968" s="9"/>
      <c r="E968" s="9"/>
      <c r="F968" s="9"/>
      <c r="G968" s="9"/>
      <c r="H968" s="9"/>
      <c r="I968" s="8"/>
      <c r="J968" s="8"/>
      <c r="K968" s="8"/>
      <c r="L968" s="8"/>
      <c r="M968" s="8"/>
      <c r="N968" s="8"/>
      <c r="O968" s="8"/>
      <c r="P968" s="9"/>
      <c r="Q968" s="9"/>
      <c r="R968" s="9"/>
      <c r="S968" s="8"/>
      <c r="T968" s="8"/>
      <c r="U968" s="8"/>
      <c r="V968" s="8"/>
      <c r="W968" s="8"/>
      <c r="X968" s="8"/>
      <c r="Y968" s="8"/>
      <c r="Z968" s="194"/>
      <c r="AA968" s="194"/>
      <c r="AB968" s="194"/>
      <c r="AC968" s="11"/>
      <c r="AD968" s="11"/>
      <c r="AE968" s="11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3"/>
      <c r="AY968" s="13"/>
      <c r="AZ968" s="13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</row>
    <row r="969" spans="1:63" ht="14.25" customHeight="1" x14ac:dyDescent="0.25">
      <c r="A969" s="9"/>
      <c r="B969" s="2"/>
      <c r="C969" s="3"/>
      <c r="D969" s="9"/>
      <c r="E969" s="9"/>
      <c r="F969" s="9"/>
      <c r="G969" s="9"/>
      <c r="H969" s="9"/>
      <c r="I969" s="8"/>
      <c r="J969" s="8"/>
      <c r="K969" s="8"/>
      <c r="L969" s="8"/>
      <c r="M969" s="8"/>
      <c r="N969" s="8"/>
      <c r="O969" s="8"/>
      <c r="P969" s="9"/>
      <c r="Q969" s="9"/>
      <c r="R969" s="9"/>
      <c r="S969" s="8"/>
      <c r="T969" s="8"/>
      <c r="U969" s="8"/>
      <c r="V969" s="8"/>
      <c r="W969" s="8"/>
      <c r="X969" s="8"/>
      <c r="Y969" s="8"/>
      <c r="Z969" s="194"/>
      <c r="AA969" s="194"/>
      <c r="AB969" s="194"/>
      <c r="AC969" s="11"/>
      <c r="AD969" s="11"/>
      <c r="AE969" s="11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3"/>
      <c r="AY969" s="13"/>
      <c r="AZ969" s="13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</row>
    <row r="970" spans="1:63" ht="14.25" customHeight="1" x14ac:dyDescent="0.25">
      <c r="A970" s="9"/>
      <c r="B970" s="2"/>
      <c r="C970" s="3"/>
      <c r="D970" s="9"/>
      <c r="E970" s="9"/>
      <c r="F970" s="9"/>
      <c r="G970" s="9"/>
      <c r="H970" s="9"/>
      <c r="I970" s="8"/>
      <c r="J970" s="8"/>
      <c r="K970" s="8"/>
      <c r="L970" s="8"/>
      <c r="M970" s="8"/>
      <c r="N970" s="8"/>
      <c r="O970" s="8"/>
      <c r="P970" s="9"/>
      <c r="Q970" s="9"/>
      <c r="R970" s="9"/>
      <c r="S970" s="8"/>
      <c r="T970" s="8"/>
      <c r="U970" s="8"/>
      <c r="V970" s="8"/>
      <c r="W970" s="8"/>
      <c r="X970" s="8"/>
      <c r="Y970" s="8"/>
      <c r="Z970" s="194"/>
      <c r="AA970" s="194"/>
      <c r="AB970" s="194"/>
      <c r="AC970" s="11"/>
      <c r="AD970" s="11"/>
      <c r="AE970" s="11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3"/>
      <c r="AY970" s="13"/>
      <c r="AZ970" s="13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</row>
    <row r="971" spans="1:63" ht="14.25" customHeight="1" x14ac:dyDescent="0.25">
      <c r="A971" s="9"/>
      <c r="B971" s="2"/>
      <c r="C971" s="3"/>
      <c r="D971" s="9"/>
      <c r="E971" s="9"/>
      <c r="F971" s="9"/>
      <c r="G971" s="9"/>
      <c r="H971" s="9"/>
      <c r="I971" s="8"/>
      <c r="J971" s="8"/>
      <c r="K971" s="8"/>
      <c r="L971" s="8"/>
      <c r="M971" s="8"/>
      <c r="N971" s="8"/>
      <c r="O971" s="8"/>
      <c r="P971" s="9"/>
      <c r="Q971" s="9"/>
      <c r="R971" s="9"/>
      <c r="S971" s="8"/>
      <c r="T971" s="8"/>
      <c r="U971" s="8"/>
      <c r="V971" s="8"/>
      <c r="W971" s="8"/>
      <c r="X971" s="8"/>
      <c r="Y971" s="8"/>
      <c r="Z971" s="194"/>
      <c r="AA971" s="194"/>
      <c r="AB971" s="194"/>
      <c r="AC971" s="11"/>
      <c r="AD971" s="11"/>
      <c r="AE971" s="11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3"/>
      <c r="AY971" s="13"/>
      <c r="AZ971" s="13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</row>
    <row r="972" spans="1:63" ht="14.25" customHeight="1" x14ac:dyDescent="0.25">
      <c r="A972" s="9"/>
      <c r="B972" s="2"/>
      <c r="C972" s="3"/>
      <c r="D972" s="9"/>
      <c r="E972" s="9"/>
      <c r="F972" s="9"/>
      <c r="G972" s="9"/>
      <c r="H972" s="9"/>
      <c r="I972" s="8"/>
      <c r="J972" s="8"/>
      <c r="K972" s="8"/>
      <c r="L972" s="8"/>
      <c r="M972" s="8"/>
      <c r="N972" s="8"/>
      <c r="O972" s="8"/>
      <c r="P972" s="9"/>
      <c r="Q972" s="9"/>
      <c r="R972" s="9"/>
      <c r="S972" s="8"/>
      <c r="T972" s="8"/>
      <c r="U972" s="8"/>
      <c r="V972" s="8"/>
      <c r="W972" s="8"/>
      <c r="X972" s="8"/>
      <c r="Y972" s="8"/>
      <c r="Z972" s="194"/>
      <c r="AA972" s="194"/>
      <c r="AB972" s="194"/>
      <c r="AC972" s="11"/>
      <c r="AD972" s="11"/>
      <c r="AE972" s="11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3"/>
      <c r="AY972" s="13"/>
      <c r="AZ972" s="13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</row>
    <row r="973" spans="1:63" ht="14.25" customHeight="1" x14ac:dyDescent="0.25">
      <c r="A973" s="9"/>
      <c r="B973" s="2"/>
      <c r="C973" s="3"/>
      <c r="D973" s="9"/>
      <c r="E973" s="9"/>
      <c r="F973" s="9"/>
      <c r="G973" s="9"/>
      <c r="H973" s="9"/>
      <c r="I973" s="8"/>
      <c r="J973" s="8"/>
      <c r="K973" s="8"/>
      <c r="L973" s="8"/>
      <c r="M973" s="8"/>
      <c r="N973" s="8"/>
      <c r="O973" s="8"/>
      <c r="P973" s="9"/>
      <c r="Q973" s="9"/>
      <c r="R973" s="9"/>
      <c r="S973" s="8"/>
      <c r="T973" s="8"/>
      <c r="U973" s="8"/>
      <c r="V973" s="8"/>
      <c r="W973" s="8"/>
      <c r="X973" s="8"/>
      <c r="Y973" s="8"/>
      <c r="Z973" s="194"/>
      <c r="AA973" s="194"/>
      <c r="AB973" s="194"/>
      <c r="AC973" s="11"/>
      <c r="AD973" s="11"/>
      <c r="AE973" s="11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3"/>
      <c r="AY973" s="13"/>
      <c r="AZ973" s="13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</row>
    <row r="974" spans="1:63" ht="14.25" customHeight="1" x14ac:dyDescent="0.25">
      <c r="A974" s="9"/>
      <c r="B974" s="2"/>
      <c r="C974" s="3"/>
      <c r="D974" s="9"/>
      <c r="E974" s="9"/>
      <c r="F974" s="9"/>
      <c r="G974" s="9"/>
      <c r="H974" s="9"/>
      <c r="I974" s="8"/>
      <c r="J974" s="8"/>
      <c r="K974" s="8"/>
      <c r="L974" s="8"/>
      <c r="M974" s="8"/>
      <c r="N974" s="8"/>
      <c r="O974" s="8"/>
      <c r="P974" s="9"/>
      <c r="Q974" s="9"/>
      <c r="R974" s="9"/>
      <c r="S974" s="8"/>
      <c r="T974" s="8"/>
      <c r="U974" s="8"/>
      <c r="V974" s="8"/>
      <c r="W974" s="8"/>
      <c r="X974" s="8"/>
      <c r="Y974" s="8"/>
      <c r="Z974" s="194"/>
      <c r="AA974" s="194"/>
      <c r="AB974" s="194"/>
      <c r="AC974" s="11"/>
      <c r="AD974" s="11"/>
      <c r="AE974" s="11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3"/>
      <c r="AY974" s="13"/>
      <c r="AZ974" s="13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</row>
    <row r="975" spans="1:63" ht="14.25" customHeight="1" x14ac:dyDescent="0.25">
      <c r="A975" s="9"/>
      <c r="B975" s="2"/>
      <c r="C975" s="3"/>
      <c r="D975" s="9"/>
      <c r="E975" s="9"/>
      <c r="F975" s="9"/>
      <c r="G975" s="9"/>
      <c r="H975" s="9"/>
      <c r="I975" s="8"/>
      <c r="J975" s="8"/>
      <c r="K975" s="8"/>
      <c r="L975" s="8"/>
      <c r="M975" s="8"/>
      <c r="N975" s="8"/>
      <c r="O975" s="8"/>
      <c r="P975" s="9"/>
      <c r="Q975" s="9"/>
      <c r="R975" s="9"/>
      <c r="S975" s="8"/>
      <c r="T975" s="8"/>
      <c r="U975" s="8"/>
      <c r="V975" s="8"/>
      <c r="W975" s="8"/>
      <c r="X975" s="8"/>
      <c r="Y975" s="8"/>
      <c r="Z975" s="194"/>
      <c r="AA975" s="194"/>
      <c r="AB975" s="194"/>
      <c r="AC975" s="11"/>
      <c r="AD975" s="11"/>
      <c r="AE975" s="11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3"/>
      <c r="AY975" s="13"/>
      <c r="AZ975" s="13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</row>
    <row r="976" spans="1:63" ht="14.25" customHeight="1" x14ac:dyDescent="0.25">
      <c r="A976" s="9"/>
      <c r="B976" s="2"/>
      <c r="C976" s="3"/>
      <c r="D976" s="9"/>
      <c r="E976" s="9"/>
      <c r="F976" s="9"/>
      <c r="G976" s="9"/>
      <c r="H976" s="9"/>
      <c r="I976" s="8"/>
      <c r="J976" s="8"/>
      <c r="K976" s="8"/>
      <c r="L976" s="8"/>
      <c r="M976" s="8"/>
      <c r="N976" s="8"/>
      <c r="O976" s="8"/>
      <c r="P976" s="9"/>
      <c r="Q976" s="9"/>
      <c r="R976" s="9"/>
      <c r="S976" s="8"/>
      <c r="T976" s="8"/>
      <c r="U976" s="8"/>
      <c r="V976" s="8"/>
      <c r="W976" s="8"/>
      <c r="X976" s="8"/>
      <c r="Y976" s="8"/>
      <c r="Z976" s="194"/>
      <c r="AA976" s="194"/>
      <c r="AB976" s="194"/>
      <c r="AC976" s="11"/>
      <c r="AD976" s="11"/>
      <c r="AE976" s="11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3"/>
      <c r="AY976" s="13"/>
      <c r="AZ976" s="13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</row>
    <row r="977" spans="1:63" ht="14.25" customHeight="1" x14ac:dyDescent="0.25">
      <c r="A977" s="9"/>
      <c r="B977" s="2"/>
      <c r="C977" s="3"/>
      <c r="D977" s="9"/>
      <c r="E977" s="9"/>
      <c r="F977" s="9"/>
      <c r="G977" s="9"/>
      <c r="H977" s="9"/>
      <c r="I977" s="8"/>
      <c r="J977" s="8"/>
      <c r="K977" s="8"/>
      <c r="L977" s="8"/>
      <c r="M977" s="8"/>
      <c r="N977" s="8"/>
      <c r="O977" s="8"/>
      <c r="P977" s="9"/>
      <c r="Q977" s="9"/>
      <c r="R977" s="9"/>
      <c r="S977" s="8"/>
      <c r="T977" s="8"/>
      <c r="U977" s="8"/>
      <c r="V977" s="8"/>
      <c r="W977" s="8"/>
      <c r="X977" s="8"/>
      <c r="Y977" s="8"/>
      <c r="Z977" s="194"/>
      <c r="AA977" s="194"/>
      <c r="AB977" s="194"/>
      <c r="AC977" s="11"/>
      <c r="AD977" s="11"/>
      <c r="AE977" s="11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3"/>
      <c r="AY977" s="13"/>
      <c r="AZ977" s="13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</row>
    <row r="978" spans="1:63" ht="14.25" customHeight="1" x14ac:dyDescent="0.25">
      <c r="A978" s="9"/>
      <c r="B978" s="2"/>
      <c r="C978" s="3"/>
      <c r="D978" s="9"/>
      <c r="E978" s="9"/>
      <c r="F978" s="9"/>
      <c r="G978" s="9"/>
      <c r="H978" s="9"/>
      <c r="I978" s="8"/>
      <c r="J978" s="8"/>
      <c r="K978" s="8"/>
      <c r="L978" s="8"/>
      <c r="M978" s="8"/>
      <c r="N978" s="8"/>
      <c r="O978" s="8"/>
      <c r="P978" s="9"/>
      <c r="Q978" s="9"/>
      <c r="R978" s="9"/>
      <c r="S978" s="8"/>
      <c r="T978" s="8"/>
      <c r="U978" s="8"/>
      <c r="V978" s="8"/>
      <c r="W978" s="8"/>
      <c r="X978" s="8"/>
      <c r="Y978" s="8"/>
      <c r="Z978" s="194"/>
      <c r="AA978" s="194"/>
      <c r="AB978" s="194"/>
      <c r="AC978" s="11"/>
      <c r="AD978" s="11"/>
      <c r="AE978" s="11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3"/>
      <c r="AY978" s="13"/>
      <c r="AZ978" s="13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</row>
    <row r="979" spans="1:63" ht="14.25" customHeight="1" x14ac:dyDescent="0.25">
      <c r="A979" s="9"/>
      <c r="B979" s="2"/>
      <c r="C979" s="3"/>
      <c r="D979" s="9"/>
      <c r="E979" s="9"/>
      <c r="F979" s="9"/>
      <c r="G979" s="9"/>
      <c r="H979" s="9"/>
      <c r="I979" s="8"/>
      <c r="J979" s="8"/>
      <c r="K979" s="8"/>
      <c r="L979" s="8"/>
      <c r="M979" s="8"/>
      <c r="N979" s="8"/>
      <c r="O979" s="8"/>
      <c r="P979" s="9"/>
      <c r="Q979" s="9"/>
      <c r="R979" s="9"/>
      <c r="S979" s="8"/>
      <c r="T979" s="8"/>
      <c r="U979" s="8"/>
      <c r="V979" s="8"/>
      <c r="W979" s="8"/>
      <c r="X979" s="8"/>
      <c r="Y979" s="8"/>
      <c r="Z979" s="194"/>
      <c r="AA979" s="194"/>
      <c r="AB979" s="194"/>
      <c r="AC979" s="11"/>
      <c r="AD979" s="11"/>
      <c r="AE979" s="11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3"/>
      <c r="AY979" s="13"/>
      <c r="AZ979" s="13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</row>
    <row r="980" spans="1:63" ht="14.25" customHeight="1" x14ac:dyDescent="0.25">
      <c r="A980" s="9"/>
      <c r="B980" s="2"/>
      <c r="C980" s="3"/>
      <c r="D980" s="9"/>
      <c r="E980" s="9"/>
      <c r="F980" s="9"/>
      <c r="G980" s="9"/>
      <c r="H980" s="9"/>
      <c r="I980" s="8"/>
      <c r="J980" s="8"/>
      <c r="K980" s="8"/>
      <c r="L980" s="8"/>
      <c r="M980" s="8"/>
      <c r="N980" s="8"/>
      <c r="O980" s="8"/>
      <c r="P980" s="9"/>
      <c r="Q980" s="9"/>
      <c r="R980" s="9"/>
      <c r="S980" s="8"/>
      <c r="T980" s="8"/>
      <c r="U980" s="8"/>
      <c r="V980" s="8"/>
      <c r="W980" s="8"/>
      <c r="X980" s="8"/>
      <c r="Y980" s="8"/>
      <c r="Z980" s="194"/>
      <c r="AA980" s="194"/>
      <c r="AB980" s="194"/>
      <c r="AC980" s="11"/>
      <c r="AD980" s="11"/>
      <c r="AE980" s="11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3"/>
      <c r="AY980" s="13"/>
      <c r="AZ980" s="13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</row>
    <row r="981" spans="1:63" ht="14.25" customHeight="1" x14ac:dyDescent="0.25">
      <c r="A981" s="9"/>
      <c r="B981" s="2"/>
      <c r="C981" s="3"/>
      <c r="D981" s="9"/>
      <c r="E981" s="9"/>
      <c r="F981" s="9"/>
      <c r="G981" s="9"/>
      <c r="H981" s="9"/>
      <c r="I981" s="8"/>
      <c r="J981" s="8"/>
      <c r="K981" s="8"/>
      <c r="L981" s="8"/>
      <c r="M981" s="8"/>
      <c r="N981" s="8"/>
      <c r="O981" s="8"/>
      <c r="P981" s="9"/>
      <c r="Q981" s="9"/>
      <c r="R981" s="9"/>
      <c r="S981" s="8"/>
      <c r="T981" s="8"/>
      <c r="U981" s="8"/>
      <c r="V981" s="8"/>
      <c r="W981" s="8"/>
      <c r="X981" s="8"/>
      <c r="Y981" s="8"/>
      <c r="Z981" s="194"/>
      <c r="AA981" s="194"/>
      <c r="AB981" s="194"/>
      <c r="AC981" s="11"/>
      <c r="AD981" s="11"/>
      <c r="AE981" s="11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3"/>
      <c r="AY981" s="13"/>
      <c r="AZ981" s="13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</row>
    <row r="982" spans="1:63" ht="14.25" customHeight="1" x14ac:dyDescent="0.25">
      <c r="A982" s="9"/>
      <c r="B982" s="2"/>
      <c r="C982" s="3"/>
      <c r="D982" s="9"/>
      <c r="E982" s="9"/>
      <c r="F982" s="9"/>
      <c r="G982" s="9"/>
      <c r="H982" s="9"/>
      <c r="I982" s="8"/>
      <c r="J982" s="8"/>
      <c r="K982" s="8"/>
      <c r="L982" s="8"/>
      <c r="M982" s="8"/>
      <c r="N982" s="8"/>
      <c r="O982" s="8"/>
      <c r="P982" s="9"/>
      <c r="Q982" s="9"/>
      <c r="R982" s="9"/>
      <c r="S982" s="8"/>
      <c r="T982" s="8"/>
      <c r="U982" s="8"/>
      <c r="V982" s="8"/>
      <c r="W982" s="8"/>
      <c r="X982" s="8"/>
      <c r="Y982" s="8"/>
      <c r="Z982" s="194"/>
      <c r="AA982" s="194"/>
      <c r="AB982" s="194"/>
      <c r="AC982" s="11"/>
      <c r="AD982" s="11"/>
      <c r="AE982" s="11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3"/>
      <c r="AY982" s="13"/>
      <c r="AZ982" s="13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</row>
    <row r="983" spans="1:63" ht="14.25" customHeight="1" x14ac:dyDescent="0.25">
      <c r="A983" s="9"/>
      <c r="B983" s="2"/>
      <c r="C983" s="3"/>
      <c r="D983" s="9"/>
      <c r="E983" s="9"/>
      <c r="F983" s="9"/>
      <c r="G983" s="9"/>
      <c r="H983" s="9"/>
      <c r="I983" s="8"/>
      <c r="J983" s="8"/>
      <c r="K983" s="8"/>
      <c r="L983" s="8"/>
      <c r="M983" s="8"/>
      <c r="N983" s="8"/>
      <c r="O983" s="8"/>
      <c r="P983" s="9"/>
      <c r="Q983" s="9"/>
      <c r="R983" s="9"/>
      <c r="S983" s="8"/>
      <c r="T983" s="8"/>
      <c r="U983" s="8"/>
      <c r="V983" s="8"/>
      <c r="W983" s="8"/>
      <c r="X983" s="8"/>
      <c r="Y983" s="8"/>
      <c r="Z983" s="194"/>
      <c r="AA983" s="194"/>
      <c r="AB983" s="194"/>
      <c r="AC983" s="11"/>
      <c r="AD983" s="11"/>
      <c r="AE983" s="11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3"/>
      <c r="AY983" s="13"/>
      <c r="AZ983" s="13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</row>
    <row r="984" spans="1:63" ht="14.25" customHeight="1" x14ac:dyDescent="0.25">
      <c r="A984" s="9"/>
      <c r="B984" s="2"/>
      <c r="C984" s="3"/>
      <c r="D984" s="9"/>
      <c r="E984" s="9"/>
      <c r="F984" s="9"/>
      <c r="G984" s="9"/>
      <c r="H984" s="9"/>
      <c r="I984" s="8"/>
      <c r="J984" s="8"/>
      <c r="K984" s="8"/>
      <c r="L984" s="8"/>
      <c r="M984" s="8"/>
      <c r="N984" s="8"/>
      <c r="O984" s="8"/>
      <c r="P984" s="9"/>
      <c r="Q984" s="9"/>
      <c r="R984" s="9"/>
      <c r="S984" s="8"/>
      <c r="T984" s="8"/>
      <c r="U984" s="8"/>
      <c r="V984" s="8"/>
      <c r="W984" s="8"/>
      <c r="X984" s="8"/>
      <c r="Y984" s="8"/>
      <c r="Z984" s="194"/>
      <c r="AA984" s="194"/>
      <c r="AB984" s="194"/>
      <c r="AC984" s="11"/>
      <c r="AD984" s="11"/>
      <c r="AE984" s="11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3"/>
      <c r="AY984" s="13"/>
      <c r="AZ984" s="13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</row>
    <row r="985" spans="1:63" ht="14.25" customHeight="1" x14ac:dyDescent="0.25">
      <c r="A985" s="9"/>
      <c r="B985" s="2"/>
      <c r="C985" s="3"/>
      <c r="D985" s="9"/>
      <c r="E985" s="9"/>
      <c r="F985" s="9"/>
      <c r="G985" s="9"/>
      <c r="H985" s="9"/>
      <c r="I985" s="8"/>
      <c r="J985" s="8"/>
      <c r="K985" s="8"/>
      <c r="L985" s="8"/>
      <c r="M985" s="8"/>
      <c r="N985" s="8"/>
      <c r="O985" s="8"/>
      <c r="P985" s="9"/>
      <c r="Q985" s="9"/>
      <c r="R985" s="9"/>
      <c r="S985" s="8"/>
      <c r="T985" s="8"/>
      <c r="U985" s="8"/>
      <c r="V985" s="8"/>
      <c r="W985" s="8"/>
      <c r="X985" s="8"/>
      <c r="Y985" s="8"/>
      <c r="Z985" s="194"/>
      <c r="AA985" s="194"/>
      <c r="AB985" s="194"/>
      <c r="AC985" s="11"/>
      <c r="AD985" s="11"/>
      <c r="AE985" s="11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3"/>
      <c r="AY985" s="13"/>
      <c r="AZ985" s="13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</row>
    <row r="986" spans="1:63" ht="14.25" customHeight="1" x14ac:dyDescent="0.25">
      <c r="A986" s="9"/>
      <c r="B986" s="2"/>
      <c r="C986" s="3"/>
      <c r="D986" s="9"/>
      <c r="E986" s="9"/>
      <c r="F986" s="9"/>
      <c r="G986" s="9"/>
      <c r="H986" s="9"/>
      <c r="I986" s="8"/>
      <c r="J986" s="8"/>
      <c r="K986" s="8"/>
      <c r="L986" s="8"/>
      <c r="M986" s="8"/>
      <c r="N986" s="8"/>
      <c r="O986" s="8"/>
      <c r="P986" s="9"/>
      <c r="Q986" s="9"/>
      <c r="R986" s="9"/>
      <c r="S986" s="8"/>
      <c r="T986" s="8"/>
      <c r="U986" s="8"/>
      <c r="V986" s="8"/>
      <c r="W986" s="8"/>
      <c r="X986" s="8"/>
      <c r="Y986" s="8"/>
      <c r="Z986" s="194"/>
      <c r="AA986" s="194"/>
      <c r="AB986" s="194"/>
      <c r="AC986" s="11"/>
      <c r="AD986" s="11"/>
      <c r="AE986" s="11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3"/>
      <c r="AY986" s="13"/>
      <c r="AZ986" s="13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</row>
    <row r="987" spans="1:63" ht="14.25" customHeight="1" x14ac:dyDescent="0.25">
      <c r="A987" s="9"/>
      <c r="B987" s="2"/>
      <c r="C987" s="3"/>
      <c r="D987" s="9"/>
      <c r="E987" s="9"/>
      <c r="F987" s="9"/>
      <c r="G987" s="9"/>
      <c r="H987" s="9"/>
      <c r="I987" s="8"/>
      <c r="J987" s="8"/>
      <c r="K987" s="8"/>
      <c r="L987" s="8"/>
      <c r="M987" s="8"/>
      <c r="N987" s="8"/>
      <c r="O987" s="8"/>
      <c r="P987" s="9"/>
      <c r="Q987" s="9"/>
      <c r="R987" s="9"/>
      <c r="S987" s="8"/>
      <c r="T987" s="8"/>
      <c r="U987" s="8"/>
      <c r="V987" s="8"/>
      <c r="W987" s="8"/>
      <c r="X987" s="8"/>
      <c r="Y987" s="8"/>
      <c r="Z987" s="194"/>
      <c r="AA987" s="194"/>
      <c r="AB987" s="194"/>
      <c r="AC987" s="11"/>
      <c r="AD987" s="11"/>
      <c r="AE987" s="11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3"/>
      <c r="AY987" s="13"/>
      <c r="AZ987" s="13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</row>
    <row r="988" spans="1:63" ht="14.25" customHeight="1" x14ac:dyDescent="0.25">
      <c r="A988" s="9"/>
      <c r="B988" s="2"/>
      <c r="C988" s="3"/>
      <c r="D988" s="9"/>
      <c r="E988" s="9"/>
      <c r="F988" s="9"/>
      <c r="G988" s="9"/>
      <c r="H988" s="9"/>
      <c r="I988" s="8"/>
      <c r="J988" s="8"/>
      <c r="K988" s="8"/>
      <c r="L988" s="8"/>
      <c r="M988" s="8"/>
      <c r="N988" s="8"/>
      <c r="O988" s="8"/>
      <c r="P988" s="9"/>
      <c r="Q988" s="9"/>
      <c r="R988" s="9"/>
      <c r="S988" s="8"/>
      <c r="T988" s="8"/>
      <c r="U988" s="8"/>
      <c r="V988" s="8"/>
      <c r="W988" s="8"/>
      <c r="X988" s="8"/>
      <c r="Y988" s="8"/>
      <c r="Z988" s="194"/>
      <c r="AA988" s="194"/>
      <c r="AB988" s="194"/>
      <c r="AC988" s="11"/>
      <c r="AD988" s="11"/>
      <c r="AE988" s="11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3"/>
      <c r="AY988" s="13"/>
      <c r="AZ988" s="13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</row>
    <row r="989" spans="1:63" ht="14.25" customHeight="1" x14ac:dyDescent="0.25">
      <c r="A989" s="9"/>
      <c r="B989" s="2"/>
      <c r="C989" s="3"/>
      <c r="D989" s="9"/>
      <c r="E989" s="9"/>
      <c r="F989" s="9"/>
      <c r="G989" s="9"/>
      <c r="H989" s="9"/>
      <c r="I989" s="8"/>
      <c r="J989" s="8"/>
      <c r="K989" s="8"/>
      <c r="L989" s="8"/>
      <c r="M989" s="8"/>
      <c r="N989" s="8"/>
      <c r="O989" s="8"/>
      <c r="P989" s="9"/>
      <c r="Q989" s="9"/>
      <c r="R989" s="9"/>
      <c r="S989" s="8"/>
      <c r="T989" s="8"/>
      <c r="U989" s="8"/>
      <c r="V989" s="8"/>
      <c r="W989" s="8"/>
      <c r="X989" s="8"/>
      <c r="Y989" s="8"/>
      <c r="Z989" s="194"/>
      <c r="AA989" s="194"/>
      <c r="AB989" s="194"/>
      <c r="AC989" s="11"/>
      <c r="AD989" s="11"/>
      <c r="AE989" s="11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3"/>
      <c r="AY989" s="13"/>
      <c r="AZ989" s="13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</row>
    <row r="990" spans="1:63" ht="14.25" customHeight="1" x14ac:dyDescent="0.25">
      <c r="A990" s="9"/>
      <c r="B990" s="2"/>
      <c r="C990" s="3"/>
      <c r="D990" s="9"/>
      <c r="E990" s="9"/>
      <c r="F990" s="9"/>
      <c r="G990" s="9"/>
      <c r="H990" s="9"/>
      <c r="I990" s="8"/>
      <c r="J990" s="8"/>
      <c r="K990" s="8"/>
      <c r="L990" s="8"/>
      <c r="M990" s="8"/>
      <c r="N990" s="8"/>
      <c r="O990" s="8"/>
      <c r="P990" s="9"/>
      <c r="Q990" s="9"/>
      <c r="R990" s="9"/>
      <c r="S990" s="8"/>
      <c r="T990" s="8"/>
      <c r="U990" s="8"/>
      <c r="V990" s="8"/>
      <c r="W990" s="8"/>
      <c r="X990" s="8"/>
      <c r="Y990" s="8"/>
      <c r="Z990" s="194"/>
      <c r="AA990" s="194"/>
      <c r="AB990" s="194"/>
      <c r="AC990" s="11"/>
      <c r="AD990" s="11"/>
      <c r="AE990" s="11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3"/>
      <c r="AY990" s="13"/>
      <c r="AZ990" s="13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</row>
    <row r="991" spans="1:63" ht="14.25" customHeight="1" x14ac:dyDescent="0.25">
      <c r="A991" s="9"/>
      <c r="B991" s="2"/>
      <c r="C991" s="3"/>
      <c r="D991" s="9"/>
      <c r="E991" s="9"/>
      <c r="F991" s="9"/>
      <c r="G991" s="9"/>
      <c r="H991" s="9"/>
      <c r="I991" s="8"/>
      <c r="J991" s="8"/>
      <c r="K991" s="8"/>
      <c r="L991" s="8"/>
      <c r="M991" s="8"/>
      <c r="N991" s="8"/>
      <c r="O991" s="8"/>
      <c r="P991" s="9"/>
      <c r="Q991" s="9"/>
      <c r="R991" s="9"/>
      <c r="S991" s="8"/>
      <c r="T991" s="8"/>
      <c r="U991" s="8"/>
      <c r="V991" s="8"/>
      <c r="W991" s="8"/>
      <c r="X991" s="8"/>
      <c r="Y991" s="8"/>
      <c r="Z991" s="194"/>
      <c r="AA991" s="194"/>
      <c r="AB991" s="194"/>
      <c r="AC991" s="11"/>
      <c r="AD991" s="11"/>
      <c r="AE991" s="11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3"/>
      <c r="AY991" s="13"/>
      <c r="AZ991" s="13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</row>
    <row r="992" spans="1:63" ht="14.25" customHeight="1" x14ac:dyDescent="0.25">
      <c r="A992" s="9"/>
      <c r="B992" s="2"/>
      <c r="C992" s="3"/>
      <c r="D992" s="9"/>
      <c r="E992" s="9"/>
      <c r="F992" s="9"/>
      <c r="G992" s="9"/>
      <c r="H992" s="9"/>
      <c r="I992" s="8"/>
      <c r="J992" s="8"/>
      <c r="K992" s="8"/>
      <c r="L992" s="8"/>
      <c r="M992" s="8"/>
      <c r="N992" s="8"/>
      <c r="O992" s="8"/>
      <c r="P992" s="9"/>
      <c r="Q992" s="9"/>
      <c r="R992" s="9"/>
      <c r="S992" s="8"/>
      <c r="T992" s="8"/>
      <c r="U992" s="8"/>
      <c r="V992" s="8"/>
      <c r="W992" s="8"/>
      <c r="X992" s="8"/>
      <c r="Y992" s="8"/>
      <c r="Z992" s="194"/>
      <c r="AA992" s="194"/>
      <c r="AB992" s="194"/>
      <c r="AC992" s="11"/>
      <c r="AD992" s="11"/>
      <c r="AE992" s="11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3"/>
      <c r="AY992" s="13"/>
      <c r="AZ992" s="13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</row>
    <row r="993" spans="1:63" ht="14.25" customHeight="1" x14ac:dyDescent="0.25">
      <c r="A993" s="9"/>
      <c r="B993" s="2"/>
      <c r="C993" s="3"/>
      <c r="D993" s="9"/>
      <c r="E993" s="9"/>
      <c r="F993" s="9"/>
      <c r="G993" s="9"/>
      <c r="H993" s="9"/>
      <c r="I993" s="8"/>
      <c r="J993" s="8"/>
      <c r="K993" s="8"/>
      <c r="L993" s="8"/>
      <c r="M993" s="8"/>
      <c r="N993" s="8"/>
      <c r="O993" s="8"/>
      <c r="P993" s="9"/>
      <c r="Q993" s="9"/>
      <c r="R993" s="9"/>
      <c r="S993" s="8"/>
      <c r="T993" s="8"/>
      <c r="U993" s="8"/>
      <c r="V993" s="8"/>
      <c r="W993" s="8"/>
      <c r="X993" s="8"/>
      <c r="Y993" s="8"/>
      <c r="Z993" s="194"/>
      <c r="AA993" s="194"/>
      <c r="AB993" s="194"/>
      <c r="AC993" s="11"/>
      <c r="AD993" s="11"/>
      <c r="AE993" s="11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3"/>
      <c r="AY993" s="13"/>
      <c r="AZ993" s="13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</row>
    <row r="994" spans="1:63" ht="14.25" customHeight="1" x14ac:dyDescent="0.25">
      <c r="A994" s="9"/>
      <c r="B994" s="2"/>
      <c r="C994" s="3"/>
      <c r="D994" s="9"/>
      <c r="E994" s="9"/>
      <c r="F994" s="9"/>
      <c r="G994" s="9"/>
      <c r="H994" s="9"/>
      <c r="I994" s="8"/>
      <c r="J994" s="8"/>
      <c r="K994" s="8"/>
      <c r="L994" s="8"/>
      <c r="M994" s="8"/>
      <c r="N994" s="8"/>
      <c r="O994" s="8"/>
      <c r="P994" s="9"/>
      <c r="Q994" s="9"/>
      <c r="R994" s="9"/>
      <c r="S994" s="8"/>
      <c r="T994" s="8"/>
      <c r="U994" s="8"/>
      <c r="V994" s="8"/>
      <c r="W994" s="8"/>
      <c r="X994" s="8"/>
      <c r="Y994" s="8"/>
      <c r="Z994" s="194"/>
      <c r="AA994" s="194"/>
      <c r="AB994" s="194"/>
      <c r="AC994" s="11"/>
      <c r="AD994" s="11"/>
      <c r="AE994" s="11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3"/>
      <c r="AY994" s="13"/>
      <c r="AZ994" s="13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</row>
    <row r="995" spans="1:63" ht="14.25" customHeight="1" x14ac:dyDescent="0.25">
      <c r="A995" s="9"/>
      <c r="B995" s="2"/>
      <c r="C995" s="3"/>
      <c r="D995" s="9"/>
      <c r="E995" s="9"/>
      <c r="F995" s="9"/>
      <c r="G995" s="9"/>
      <c r="H995" s="9"/>
      <c r="I995" s="8"/>
      <c r="J995" s="8"/>
      <c r="K995" s="8"/>
      <c r="L995" s="8"/>
      <c r="M995" s="8"/>
      <c r="N995" s="8"/>
      <c r="O995" s="8"/>
      <c r="P995" s="9"/>
      <c r="Q995" s="9"/>
      <c r="R995" s="9"/>
      <c r="S995" s="8"/>
      <c r="T995" s="8"/>
      <c r="U995" s="8"/>
      <c r="V995" s="8"/>
      <c r="W995" s="8"/>
      <c r="X995" s="8"/>
      <c r="Y995" s="8"/>
      <c r="Z995" s="194"/>
      <c r="AA995" s="194"/>
      <c r="AB995" s="194"/>
      <c r="AC995" s="11"/>
      <c r="AD995" s="11"/>
      <c r="AE995" s="11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3"/>
      <c r="AY995" s="13"/>
      <c r="AZ995" s="13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</row>
    <row r="996" spans="1:63" ht="14.25" customHeight="1" x14ac:dyDescent="0.25">
      <c r="A996" s="9"/>
      <c r="B996" s="2"/>
      <c r="C996" s="3"/>
      <c r="D996" s="9"/>
      <c r="E996" s="9"/>
      <c r="F996" s="9"/>
      <c r="G996" s="9"/>
      <c r="H996" s="9"/>
      <c r="I996" s="8"/>
      <c r="J996" s="8"/>
      <c r="K996" s="8"/>
      <c r="L996" s="8"/>
      <c r="M996" s="8"/>
      <c r="N996" s="8"/>
      <c r="O996" s="8"/>
      <c r="P996" s="9"/>
      <c r="Q996" s="9"/>
      <c r="R996" s="9"/>
      <c r="S996" s="8"/>
      <c r="T996" s="8"/>
      <c r="U996" s="8"/>
      <c r="V996" s="8"/>
      <c r="W996" s="8"/>
      <c r="X996" s="8"/>
      <c r="Y996" s="8"/>
      <c r="Z996" s="194"/>
      <c r="AA996" s="194"/>
      <c r="AB996" s="194"/>
      <c r="AC996" s="11"/>
      <c r="AD996" s="11"/>
      <c r="AE996" s="11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3"/>
      <c r="AY996" s="13"/>
      <c r="AZ996" s="13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</row>
    <row r="997" spans="1:63" ht="14.25" customHeight="1" x14ac:dyDescent="0.25">
      <c r="A997" s="9"/>
      <c r="B997" s="2"/>
      <c r="C997" s="3"/>
      <c r="D997" s="9"/>
      <c r="E997" s="9"/>
      <c r="F997" s="9"/>
      <c r="G997" s="9"/>
      <c r="H997" s="9"/>
      <c r="I997" s="8"/>
      <c r="J997" s="8"/>
      <c r="K997" s="8"/>
      <c r="L997" s="8"/>
      <c r="M997" s="8"/>
      <c r="N997" s="8"/>
      <c r="O997" s="8"/>
      <c r="P997" s="9"/>
      <c r="Q997" s="9"/>
      <c r="R997" s="9"/>
      <c r="S997" s="8"/>
      <c r="T997" s="8"/>
      <c r="U997" s="8"/>
      <c r="V997" s="8"/>
      <c r="W997" s="8"/>
      <c r="X997" s="8"/>
      <c r="Y997" s="8"/>
      <c r="Z997" s="194"/>
      <c r="AA997" s="194"/>
      <c r="AB997" s="194"/>
      <c r="AC997" s="11"/>
      <c r="AD997" s="11"/>
      <c r="AE997" s="11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3"/>
      <c r="AY997" s="13"/>
      <c r="AZ997" s="13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</row>
    <row r="998" spans="1:63" ht="14.25" customHeight="1" x14ac:dyDescent="0.25">
      <c r="A998" s="9"/>
      <c r="B998" s="2"/>
      <c r="C998" s="3"/>
      <c r="D998" s="9"/>
      <c r="E998" s="9"/>
      <c r="F998" s="9"/>
      <c r="G998" s="9"/>
      <c r="H998" s="9"/>
      <c r="I998" s="8"/>
      <c r="J998" s="8"/>
      <c r="K998" s="8"/>
      <c r="L998" s="8"/>
      <c r="M998" s="8"/>
      <c r="N998" s="8"/>
      <c r="O998" s="8"/>
      <c r="P998" s="9"/>
      <c r="Q998" s="9"/>
      <c r="R998" s="9"/>
      <c r="S998" s="8"/>
      <c r="T998" s="8"/>
      <c r="U998" s="8"/>
      <c r="V998" s="8"/>
      <c r="W998" s="8"/>
      <c r="X998" s="8"/>
      <c r="Y998" s="8"/>
      <c r="Z998" s="194"/>
      <c r="AA998" s="194"/>
      <c r="AB998" s="194"/>
      <c r="AC998" s="11"/>
      <c r="AD998" s="11"/>
      <c r="AE998" s="11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3"/>
      <c r="AY998" s="13"/>
      <c r="AZ998" s="13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</row>
    <row r="999" spans="1:63" ht="14.25" customHeight="1" x14ac:dyDescent="0.25">
      <c r="A999" s="9"/>
      <c r="B999" s="2"/>
      <c r="C999" s="3"/>
      <c r="D999" s="9"/>
      <c r="E999" s="9"/>
      <c r="F999" s="9"/>
      <c r="G999" s="9"/>
      <c r="H999" s="9"/>
      <c r="I999" s="8"/>
      <c r="J999" s="8"/>
      <c r="K999" s="8"/>
      <c r="L999" s="8"/>
      <c r="M999" s="8"/>
      <c r="N999" s="8"/>
      <c r="O999" s="8"/>
      <c r="P999" s="9"/>
      <c r="Q999" s="9"/>
      <c r="R999" s="9"/>
      <c r="S999" s="8"/>
      <c r="T999" s="8"/>
      <c r="U999" s="8"/>
      <c r="V999" s="8"/>
      <c r="W999" s="8"/>
      <c r="X999" s="8"/>
      <c r="Y999" s="8"/>
      <c r="Z999" s="194"/>
      <c r="AA999" s="194"/>
      <c r="AB999" s="194"/>
      <c r="AC999" s="11"/>
      <c r="AD999" s="11"/>
      <c r="AE999" s="11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3"/>
      <c r="AY999" s="13"/>
      <c r="AZ999" s="13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</row>
    <row r="1000" spans="1:63" ht="14.25" customHeight="1" x14ac:dyDescent="0.25">
      <c r="A1000" s="9"/>
      <c r="B1000" s="2"/>
      <c r="C1000" s="3"/>
      <c r="D1000" s="9"/>
      <c r="E1000" s="9"/>
      <c r="F1000" s="9"/>
      <c r="G1000" s="9"/>
      <c r="H1000" s="9"/>
      <c r="I1000" s="8"/>
      <c r="J1000" s="8"/>
      <c r="K1000" s="8"/>
      <c r="L1000" s="8"/>
      <c r="M1000" s="8"/>
      <c r="N1000" s="8"/>
      <c r="O1000" s="8"/>
      <c r="P1000" s="9"/>
      <c r="Q1000" s="9"/>
      <c r="R1000" s="9"/>
      <c r="S1000" s="8"/>
      <c r="T1000" s="8"/>
      <c r="U1000" s="8"/>
      <c r="V1000" s="8"/>
      <c r="W1000" s="8"/>
      <c r="X1000" s="8"/>
      <c r="Y1000" s="8"/>
      <c r="Z1000" s="194"/>
      <c r="AA1000" s="194"/>
      <c r="AB1000" s="194"/>
      <c r="AC1000" s="11"/>
      <c r="AD1000" s="11"/>
      <c r="AE1000" s="11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3"/>
      <c r="AY1000" s="13"/>
      <c r="AZ1000" s="13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</row>
    <row r="1001" spans="1:63" ht="14.25" customHeight="1" x14ac:dyDescent="0.25">
      <c r="A1001" s="9"/>
      <c r="B1001" s="2"/>
      <c r="C1001" s="3"/>
      <c r="D1001" s="9"/>
      <c r="E1001" s="9"/>
      <c r="F1001" s="9"/>
      <c r="G1001" s="9"/>
      <c r="H1001" s="9"/>
      <c r="I1001" s="8"/>
      <c r="J1001" s="8"/>
      <c r="K1001" s="8"/>
      <c r="L1001" s="8"/>
      <c r="M1001" s="8"/>
      <c r="N1001" s="8"/>
      <c r="O1001" s="8"/>
      <c r="P1001" s="9"/>
      <c r="Q1001" s="9"/>
      <c r="R1001" s="9"/>
      <c r="S1001" s="8"/>
      <c r="T1001" s="8"/>
      <c r="U1001" s="8"/>
      <c r="V1001" s="8"/>
      <c r="W1001" s="8"/>
      <c r="X1001" s="8"/>
      <c r="Y1001" s="8"/>
      <c r="Z1001" s="194"/>
      <c r="AA1001" s="194"/>
      <c r="AB1001" s="194"/>
      <c r="AC1001" s="11"/>
      <c r="AD1001" s="11"/>
      <c r="AE1001" s="11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3"/>
      <c r="AY1001" s="13"/>
      <c r="AZ1001" s="13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</row>
    <row r="1002" spans="1:63" ht="14.25" customHeight="1" x14ac:dyDescent="0.25">
      <c r="A1002" s="9"/>
      <c r="B1002" s="2"/>
      <c r="C1002" s="3"/>
      <c r="D1002" s="9"/>
      <c r="E1002" s="9"/>
      <c r="F1002" s="9"/>
      <c r="G1002" s="9"/>
      <c r="H1002" s="9"/>
      <c r="I1002" s="8"/>
      <c r="J1002" s="8"/>
      <c r="K1002" s="8"/>
      <c r="L1002" s="8"/>
      <c r="M1002" s="8"/>
      <c r="N1002" s="8"/>
      <c r="O1002" s="8"/>
      <c r="P1002" s="9"/>
      <c r="Q1002" s="9"/>
      <c r="R1002" s="9"/>
      <c r="S1002" s="8"/>
      <c r="T1002" s="8"/>
      <c r="U1002" s="8"/>
      <c r="V1002" s="8"/>
      <c r="W1002" s="8"/>
      <c r="X1002" s="8"/>
      <c r="Y1002" s="8"/>
      <c r="Z1002" s="194"/>
      <c r="AA1002" s="194"/>
      <c r="AB1002" s="194"/>
      <c r="AC1002" s="11"/>
      <c r="AD1002" s="11"/>
      <c r="AE1002" s="11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3"/>
      <c r="AY1002" s="13"/>
      <c r="AZ1002" s="13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</row>
    <row r="1003" spans="1:63" ht="14.25" customHeight="1" x14ac:dyDescent="0.25">
      <c r="A1003" s="9"/>
      <c r="B1003" s="2"/>
      <c r="C1003" s="3"/>
      <c r="D1003" s="9"/>
      <c r="E1003" s="9"/>
      <c r="F1003" s="9"/>
      <c r="G1003" s="9"/>
      <c r="H1003" s="9"/>
      <c r="I1003" s="8"/>
      <c r="J1003" s="8"/>
      <c r="K1003" s="8"/>
      <c r="L1003" s="8"/>
      <c r="M1003" s="8"/>
      <c r="N1003" s="8"/>
      <c r="O1003" s="8"/>
      <c r="P1003" s="9"/>
      <c r="Q1003" s="9"/>
      <c r="R1003" s="9"/>
      <c r="S1003" s="8"/>
      <c r="T1003" s="8"/>
      <c r="U1003" s="8"/>
      <c r="V1003" s="8"/>
      <c r="W1003" s="8"/>
      <c r="X1003" s="8"/>
      <c r="Y1003" s="8"/>
      <c r="Z1003" s="194"/>
      <c r="AA1003" s="194"/>
      <c r="AB1003" s="194"/>
      <c r="AC1003" s="11"/>
      <c r="AD1003" s="11"/>
      <c r="AE1003" s="11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3"/>
      <c r="AY1003" s="13"/>
      <c r="AZ1003" s="13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</row>
    <row r="1004" spans="1:63" ht="14.25" customHeight="1" x14ac:dyDescent="0.25">
      <c r="A1004" s="9"/>
      <c r="B1004" s="2"/>
      <c r="C1004" s="3"/>
      <c r="D1004" s="9"/>
      <c r="E1004" s="9"/>
      <c r="F1004" s="9"/>
      <c r="G1004" s="9"/>
      <c r="H1004" s="9"/>
      <c r="I1004" s="8"/>
      <c r="J1004" s="8"/>
      <c r="K1004" s="8"/>
      <c r="L1004" s="8"/>
      <c r="M1004" s="8"/>
      <c r="N1004" s="8"/>
      <c r="O1004" s="8"/>
      <c r="P1004" s="9"/>
      <c r="Q1004" s="9"/>
      <c r="R1004" s="9"/>
      <c r="S1004" s="8"/>
      <c r="T1004" s="8"/>
      <c r="U1004" s="8"/>
      <c r="V1004" s="8"/>
      <c r="W1004" s="8"/>
      <c r="X1004" s="8"/>
      <c r="Y1004" s="8"/>
      <c r="Z1004" s="194"/>
      <c r="AA1004" s="194"/>
      <c r="AB1004" s="194"/>
      <c r="AC1004" s="11"/>
      <c r="AD1004" s="11"/>
      <c r="AE1004" s="11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 t="s">
        <v>760</v>
      </c>
      <c r="AU1004" s="12"/>
      <c r="AV1004" s="12"/>
      <c r="AW1004" s="12"/>
      <c r="AX1004" s="13"/>
      <c r="AY1004" s="13"/>
      <c r="AZ1004" s="13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</row>
  </sheetData>
  <autoFilter ref="A3:BK364" xr:uid="{00000000-0009-0000-0000-000000000000}">
    <filterColumn colId="8">
      <filters>
        <filter val="142"/>
      </filters>
    </filterColumn>
    <sortState xmlns:xlrd2="http://schemas.microsoft.com/office/spreadsheetml/2017/richdata2" ref="A3:BK364">
      <sortCondition ref="B3:B364"/>
      <sortCondition ref="I3:I364"/>
      <sortCondition descending="1" ref="G3:G364"/>
      <sortCondition ref="A3:A364"/>
    </sortState>
  </autoFilter>
  <mergeCells count="5">
    <mergeCell ref="P1:R1"/>
    <mergeCell ref="X1:AA1"/>
    <mergeCell ref="AC1:AD1"/>
    <mergeCell ref="AF2:AW2"/>
    <mergeCell ref="BB2:BC2"/>
  </mergeCells>
  <conditionalFormatting sqref="G4:G19">
    <cfRule type="expression" dxfId="2" priority="1">
      <formula>$G4&lt;&gt;""</formula>
    </cfRule>
  </conditionalFormatting>
  <conditionalFormatting sqref="G4:G362">
    <cfRule type="expression" dxfId="1" priority="2">
      <formula>$G4&gt;TODAY()</formula>
    </cfRule>
    <cfRule type="expression" dxfId="0" priority="3">
      <formula>$G4&lt;=31/12/2025</formula>
    </cfRule>
  </conditionalFormatting>
  <dataValidations count="2">
    <dataValidation type="list" allowBlank="1" showErrorMessage="1" sqref="AZ4:AZ21 AZ362 AZ358:AZ359 AZ351:AZ356 AZ328:AZ349 AZ324 AZ321:AZ322 AZ317:AZ319 AZ307:AZ315 AZ300:AZ303 AZ297:AZ298 AZ295 AZ288:AZ293 AZ284:AZ286 AZ282 AZ277 AZ271 AZ261:AZ269 AZ254:AZ258 AZ243:AZ252 AZ240:AZ241 AZ231:AZ238 AZ228:AZ229 AZ225:AZ226 AZ222:AZ223 AZ219 AZ216 AZ207:AZ214 AZ205 AZ198:AZ202 AZ190:AZ195 AZ185:AZ188 AZ182:AZ183 AZ180 AZ177:AZ178 AZ163:AZ175 AZ160:AZ161 AZ141:AZ149 AZ136:AZ139 AZ134 AZ128:AZ132 AZ120:AZ126 AZ111:AZ118 AZ108:AZ109 AZ105:AZ106 AZ87:AZ103 AZ80:AZ84 AZ78 AZ74:AZ75 AZ63:AZ72 AZ59:AZ61 AZ54:AZ57 AZ46:AZ52 AZ23:AZ30 AZ38:AZ39 AZ33:AZ36 AZ41:AZ44" xr:uid="{00000000-0002-0000-0000-000000000000}">
      <formula1>$B$367:$B$372</formula1>
    </dataValidation>
    <dataValidation type="list" allowBlank="1" showErrorMessage="1" sqref="BB4:BB362" xr:uid="{00000000-0002-0000-0000-000001000000}">
      <formula1>"نعم,لا"</formula1>
    </dataValidation>
  </dataValidations>
  <hyperlinks>
    <hyperlink ref="AK41" r:id="rId1" xr:uid="{00000000-0004-0000-0000-000001000000}"/>
    <hyperlink ref="AK47" r:id="rId2" xr:uid="{00000000-0004-0000-0000-000005000000}"/>
    <hyperlink ref="AK65" r:id="rId3" xr:uid="{00000000-0004-0000-0000-000006000000}"/>
    <hyperlink ref="AK66" r:id="rId4" xr:uid="{00000000-0004-0000-0000-000008000000}"/>
    <hyperlink ref="AK67" r:id="rId5" xr:uid="{00000000-0004-0000-0000-000009000000}"/>
    <hyperlink ref="AK76" r:id="rId6" xr:uid="{00000000-0004-0000-0000-00000A000000}"/>
    <hyperlink ref="AK77" r:id="rId7" xr:uid="{00000000-0004-0000-0000-00000B000000}"/>
    <hyperlink ref="AK78" r:id="rId8" xr:uid="{00000000-0004-0000-0000-00000C000000}"/>
    <hyperlink ref="AK83" r:id="rId9" xr:uid="{00000000-0004-0000-0000-00000D000000}"/>
    <hyperlink ref="AK93" r:id="rId10" xr:uid="{00000000-0004-0000-0000-00000E000000}"/>
    <hyperlink ref="AK97" r:id="rId11" xr:uid="{00000000-0004-0000-0000-00000F000000}"/>
    <hyperlink ref="AK98" r:id="rId12" xr:uid="{00000000-0004-0000-0000-000010000000}"/>
    <hyperlink ref="AK113" r:id="rId13" xr:uid="{00000000-0004-0000-0000-000011000000}"/>
    <hyperlink ref="AK116" r:id="rId14" xr:uid="{00000000-0004-0000-0000-000012000000}"/>
    <hyperlink ref="AK122" r:id="rId15" xr:uid="{00000000-0004-0000-0000-000013000000}"/>
    <hyperlink ref="AK142" r:id="rId16" xr:uid="{00000000-0004-0000-0000-000015000000}"/>
    <hyperlink ref="AK144" r:id="rId17" xr:uid="{00000000-0004-0000-0000-000016000000}"/>
    <hyperlink ref="AK145" r:id="rId18" xr:uid="{00000000-0004-0000-0000-000017000000}"/>
    <hyperlink ref="AK148" r:id="rId19" xr:uid="{00000000-0004-0000-0000-000018000000}"/>
    <hyperlink ref="AK162" r:id="rId20" xr:uid="{00000000-0004-0000-0000-000019000000}"/>
    <hyperlink ref="AK167" r:id="rId21" xr:uid="{00000000-0004-0000-0000-00001A000000}"/>
    <hyperlink ref="AK170" r:id="rId22" xr:uid="{00000000-0004-0000-0000-00001B000000}"/>
    <hyperlink ref="AK178" r:id="rId23" xr:uid="{00000000-0004-0000-0000-00001C000000}"/>
    <hyperlink ref="AK181" r:id="rId24" xr:uid="{00000000-0004-0000-0000-00001D000000}"/>
    <hyperlink ref="AK183" r:id="rId25" xr:uid="{00000000-0004-0000-0000-00001E000000}"/>
    <hyperlink ref="AK193" r:id="rId26" xr:uid="{00000000-0004-0000-0000-00001F000000}"/>
    <hyperlink ref="AK196" r:id="rId27" xr:uid="{00000000-0004-0000-0000-000020000000}"/>
    <hyperlink ref="AK200" r:id="rId28" xr:uid="{00000000-0004-0000-0000-000021000000}"/>
    <hyperlink ref="AK201" r:id="rId29" xr:uid="{00000000-0004-0000-0000-000022000000}"/>
    <hyperlink ref="AK228" r:id="rId30" xr:uid="{00000000-0004-0000-0000-000023000000}"/>
    <hyperlink ref="AK241" r:id="rId31" xr:uid="{00000000-0004-0000-0000-000024000000}"/>
    <hyperlink ref="AK256" r:id="rId32" xr:uid="{00000000-0004-0000-0000-000026000000}"/>
    <hyperlink ref="AK265" r:id="rId33" xr:uid="{00000000-0004-0000-0000-000027000000}"/>
    <hyperlink ref="AK277" r:id="rId34" xr:uid="{00000000-0004-0000-0000-000028000000}"/>
    <hyperlink ref="AK281" r:id="rId35" xr:uid="{00000000-0004-0000-0000-000029000000}"/>
    <hyperlink ref="AK316" r:id="rId36" xr:uid="{00000000-0004-0000-0000-00002A000000}"/>
    <hyperlink ref="AK319" r:id="rId37" xr:uid="{00000000-0004-0000-0000-00002B000000}"/>
    <hyperlink ref="AK328" r:id="rId38" xr:uid="{00000000-0004-0000-0000-00002C000000}"/>
    <hyperlink ref="AK329" r:id="rId39" xr:uid="{00000000-0004-0000-0000-00002E000000}"/>
    <hyperlink ref="AK349" r:id="rId40" xr:uid="{00000000-0004-0000-0000-000031000000}"/>
    <hyperlink ref="AK351" r:id="rId41" xr:uid="{00000000-0004-0000-0000-000032000000}"/>
    <hyperlink ref="AK356" r:id="rId42" xr:uid="{00000000-0004-0000-0000-000033000000}"/>
    <hyperlink ref="AK358" r:id="rId43" xr:uid="{00000000-0004-0000-0000-000034000000}"/>
  </hyperlinks>
  <printOptions horizontalCentered="1"/>
  <pageMargins left="0.23622047244094491" right="0.23622047244094491" top="0.74803149606299213" bottom="0.74803149606299213" header="0" footer="0"/>
  <pageSetup paperSize="9" orientation="landscape"/>
  <rowBreaks count="1" manualBreakCount="1">
    <brk id="87" man="1"/>
  </rowBreaks>
  <colBreaks count="1" manualBreakCount="1">
    <brk id="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الدليل الشامل_2025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</dc:creator>
  <cp:lastModifiedBy>DELL</cp:lastModifiedBy>
  <dcterms:created xsi:type="dcterms:W3CDTF">2025-02-04T13:42:30Z</dcterms:created>
  <dcterms:modified xsi:type="dcterms:W3CDTF">2025-10-26T07:39:36Z</dcterms:modified>
</cp:coreProperties>
</file>